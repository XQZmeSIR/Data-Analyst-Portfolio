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qzme/Downloads/"/>
    </mc:Choice>
  </mc:AlternateContent>
  <xr:revisionPtr revIDLastSave="0" documentId="13_ncr:1_{CB2019C8-8280-DF47-AD50-2F1998503085}" xr6:coauthVersionLast="47" xr6:coauthVersionMax="47" xr10:uidLastSave="{00000000-0000-0000-0000-000000000000}"/>
  <bookViews>
    <workbookView xWindow="0" yWindow="660" windowWidth="30240" windowHeight="17860" activeTab="7" xr2:uid="{00000000-000D-0000-FFFF-FFFF00000000}"/>
  </bookViews>
  <sheets>
    <sheet name="README" sheetId="1" r:id="rId1"/>
    <sheet name="01_Цены_конкурентов" sheetId="2" r:id="rId2"/>
    <sheet name="02_Сравнение_поставщиков" sheetId="3" r:id="rId3"/>
    <sheet name="03_ABC_анализ" sheetId="4" r:id="rId4"/>
    <sheet name="04_XYZ_анализ" sheetId="5" r:id="rId5"/>
    <sheet name="05_ABC_XYZ_матрица" sheetId="6" r:id="rId6"/>
    <sheet name="06_Юнит_экономика" sheetId="7" r:id="rId7"/>
    <sheet name="07_ROI_новый_продукт" sheetId="8" r:id="rId8"/>
    <sheet name="08_Сезонность" sheetId="9" r:id="rId9"/>
    <sheet name="09_Импортозамещение" sheetId="10" r:id="rId10"/>
    <sheet name="10_Бенчмарк_стран" sheetId="11" r:id="rId11"/>
    <sheet name="11_Дашборд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J17" i="2"/>
  <c r="D5" i="7"/>
  <c r="E5" i="7"/>
  <c r="E20" i="12"/>
  <c r="D20" i="12"/>
  <c r="C20" i="12"/>
  <c r="B20" i="12"/>
  <c r="E19" i="12"/>
  <c r="D19" i="12"/>
  <c r="C19" i="12"/>
  <c r="B19" i="12"/>
  <c r="E18" i="12"/>
  <c r="D18" i="12"/>
  <c r="C18" i="12"/>
  <c r="B18" i="12"/>
  <c r="G14" i="12"/>
  <c r="C14" i="12"/>
  <c r="B14" i="12"/>
  <c r="G13" i="12"/>
  <c r="C13" i="12"/>
  <c r="B13" i="12"/>
  <c r="G12" i="12"/>
  <c r="C12" i="12"/>
  <c r="B12" i="12"/>
  <c r="G11" i="12"/>
  <c r="C11" i="12"/>
  <c r="B11" i="12"/>
  <c r="G10" i="12"/>
  <c r="C10" i="12"/>
  <c r="B10" i="12"/>
  <c r="D12" i="10"/>
  <c r="G12" i="10" s="1"/>
  <c r="H12" i="10" s="1"/>
  <c r="D11" i="10"/>
  <c r="G11" i="10" s="1"/>
  <c r="H11" i="10" s="1"/>
  <c r="D10" i="10"/>
  <c r="G10" i="10" s="1"/>
  <c r="D9" i="10"/>
  <c r="G9" i="10" s="1"/>
  <c r="H9" i="10" s="1"/>
  <c r="D8" i="10"/>
  <c r="G8" i="10" s="1"/>
  <c r="G7" i="10"/>
  <c r="H7" i="10" s="1"/>
  <c r="G18" i="12" s="1"/>
  <c r="D7" i="10"/>
  <c r="D6" i="10"/>
  <c r="G6" i="10" s="1"/>
  <c r="H6" i="10" s="1"/>
  <c r="G5" i="10"/>
  <c r="H5" i="10" s="1"/>
  <c r="D5" i="10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7" i="9"/>
  <c r="N6" i="9"/>
  <c r="N5" i="9"/>
  <c r="F38" i="8"/>
  <c r="E38" i="8"/>
  <c r="D38" i="8"/>
  <c r="C38" i="8"/>
  <c r="B38" i="8"/>
  <c r="F37" i="8"/>
  <c r="E37" i="8"/>
  <c r="D37" i="8"/>
  <c r="C37" i="8"/>
  <c r="B37" i="8"/>
  <c r="F36" i="8"/>
  <c r="E36" i="8"/>
  <c r="D36" i="8"/>
  <c r="C36" i="8"/>
  <c r="B36" i="8"/>
  <c r="F35" i="8"/>
  <c r="E35" i="8"/>
  <c r="D35" i="8"/>
  <c r="C35" i="8"/>
  <c r="B35" i="8"/>
  <c r="F34" i="8"/>
  <c r="E34" i="8"/>
  <c r="D34" i="8"/>
  <c r="C34" i="8"/>
  <c r="B34" i="8"/>
  <c r="B22" i="8"/>
  <c r="G20" i="8"/>
  <c r="F20" i="8"/>
  <c r="E20" i="8"/>
  <c r="D20" i="8"/>
  <c r="C20" i="8"/>
  <c r="B20" i="8"/>
  <c r="B18" i="8"/>
  <c r="B17" i="8"/>
  <c r="B19" i="8" s="1"/>
  <c r="B17" i="7"/>
  <c r="G11" i="7"/>
  <c r="I10" i="7"/>
  <c r="H10" i="7"/>
  <c r="G10" i="7"/>
  <c r="E10" i="7"/>
  <c r="D10" i="7"/>
  <c r="H9" i="7"/>
  <c r="G9" i="7"/>
  <c r="D9" i="7"/>
  <c r="I9" i="7" s="1"/>
  <c r="I8" i="7"/>
  <c r="H8" i="7"/>
  <c r="G8" i="7"/>
  <c r="E8" i="7"/>
  <c r="D8" i="7"/>
  <c r="H7" i="7"/>
  <c r="G7" i="7"/>
  <c r="D7" i="7"/>
  <c r="I7" i="7" s="1"/>
  <c r="I6" i="7"/>
  <c r="H6" i="7"/>
  <c r="G6" i="7"/>
  <c r="E6" i="7"/>
  <c r="D6" i="7"/>
  <c r="H5" i="7"/>
  <c r="C5" i="12" s="1"/>
  <c r="G5" i="7"/>
  <c r="A5" i="12" s="1"/>
  <c r="I5" i="7"/>
  <c r="P19" i="5"/>
  <c r="Q19" i="5" s="1"/>
  <c r="O19" i="5"/>
  <c r="P18" i="5"/>
  <c r="Q18" i="5" s="1"/>
  <c r="O18" i="5"/>
  <c r="P17" i="5"/>
  <c r="Q17" i="5" s="1"/>
  <c r="O17" i="5"/>
  <c r="P16" i="5"/>
  <c r="Q16" i="5" s="1"/>
  <c r="O16" i="5"/>
  <c r="P15" i="5"/>
  <c r="Q15" i="5" s="1"/>
  <c r="O15" i="5"/>
  <c r="P14" i="5"/>
  <c r="Q14" i="5" s="1"/>
  <c r="O14" i="5"/>
  <c r="P13" i="5"/>
  <c r="Q13" i="5" s="1"/>
  <c r="O13" i="5"/>
  <c r="P12" i="5"/>
  <c r="Q12" i="5" s="1"/>
  <c r="O12" i="5"/>
  <c r="P11" i="5"/>
  <c r="Q11" i="5" s="1"/>
  <c r="O11" i="5"/>
  <c r="P10" i="5"/>
  <c r="Q10" i="5" s="1"/>
  <c r="O10" i="5"/>
  <c r="P9" i="5"/>
  <c r="Q9" i="5" s="1"/>
  <c r="O9" i="5"/>
  <c r="P8" i="5"/>
  <c r="Q8" i="5" s="1"/>
  <c r="O8" i="5"/>
  <c r="P7" i="5"/>
  <c r="Q7" i="5" s="1"/>
  <c r="O7" i="5"/>
  <c r="P6" i="5"/>
  <c r="Q6" i="5" s="1"/>
  <c r="O6" i="5"/>
  <c r="P5" i="5"/>
  <c r="Q5" i="5" s="1"/>
  <c r="O5" i="5"/>
  <c r="D20" i="4"/>
  <c r="E19" i="4"/>
  <c r="E18" i="4"/>
  <c r="E17" i="4"/>
  <c r="E16" i="4"/>
  <c r="E15" i="4"/>
  <c r="E14" i="4"/>
  <c r="E13" i="4"/>
  <c r="E12" i="4"/>
  <c r="E11" i="4"/>
  <c r="E10" i="4"/>
  <c r="E9" i="4"/>
  <c r="D14" i="12" s="1"/>
  <c r="E8" i="4"/>
  <c r="D13" i="12" s="1"/>
  <c r="E7" i="4"/>
  <c r="D12" i="12" s="1"/>
  <c r="E6" i="4"/>
  <c r="D11" i="12" s="1"/>
  <c r="E5" i="4"/>
  <c r="D10" i="12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B16" i="3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K17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D5" i="6" l="1"/>
  <c r="R5" i="5"/>
  <c r="D10" i="6"/>
  <c r="R10" i="5"/>
  <c r="D15" i="6"/>
  <c r="R15" i="5"/>
  <c r="B21" i="8"/>
  <c r="F20" i="12"/>
  <c r="H10" i="10"/>
  <c r="G20" i="12" s="1"/>
  <c r="R9" i="5"/>
  <c r="D9" i="6"/>
  <c r="R8" i="5"/>
  <c r="D8" i="6"/>
  <c r="R13" i="5"/>
  <c r="D13" i="6"/>
  <c r="R18" i="5"/>
  <c r="D18" i="6"/>
  <c r="D16" i="6"/>
  <c r="R16" i="5"/>
  <c r="R19" i="5"/>
  <c r="D19" i="6"/>
  <c r="B15" i="7"/>
  <c r="B16" i="7" s="1"/>
  <c r="D11" i="6"/>
  <c r="R11" i="5"/>
  <c r="F19" i="12"/>
  <c r="H8" i="10"/>
  <c r="G19" i="12" s="1"/>
  <c r="R14" i="5"/>
  <c r="D14" i="6"/>
  <c r="D6" i="6"/>
  <c r="R6" i="5"/>
  <c r="D7" i="6"/>
  <c r="R7" i="5"/>
  <c r="R12" i="5"/>
  <c r="D12" i="6"/>
  <c r="R17" i="5"/>
  <c r="D17" i="6"/>
  <c r="B18" i="7"/>
  <c r="C17" i="8"/>
  <c r="E20" i="4"/>
  <c r="E7" i="7"/>
  <c r="E9" i="7"/>
  <c r="H11" i="7"/>
  <c r="F18" i="12"/>
  <c r="F5" i="4"/>
  <c r="B23" i="8" l="1"/>
  <c r="E10" i="12"/>
  <c r="F6" i="4"/>
  <c r="G5" i="4"/>
  <c r="E5" i="12"/>
  <c r="C18" i="8"/>
  <c r="C19" i="8"/>
  <c r="D17" i="8"/>
  <c r="D18" i="8" l="1"/>
  <c r="D19" i="8"/>
  <c r="E17" i="8"/>
  <c r="C21" i="8"/>
  <c r="C5" i="6"/>
  <c r="E5" i="6" s="1"/>
  <c r="F5" i="6" s="1"/>
  <c r="F10" i="12"/>
  <c r="H10" i="12" s="1"/>
  <c r="E11" i="12"/>
  <c r="F7" i="4"/>
  <c r="G6" i="4"/>
  <c r="B24" i="8"/>
  <c r="C23" i="8" l="1"/>
  <c r="E12" i="12"/>
  <c r="F8" i="4"/>
  <c r="G7" i="4"/>
  <c r="C24" i="8"/>
  <c r="D24" i="8" s="1"/>
  <c r="B29" i="8"/>
  <c r="F11" i="12"/>
  <c r="H11" i="12" s="1"/>
  <c r="C6" i="6"/>
  <c r="E6" i="6" s="1"/>
  <c r="F6" i="6" s="1"/>
  <c r="E18" i="8"/>
  <c r="E19" i="8"/>
  <c r="F17" i="8"/>
  <c r="D21" i="8"/>
  <c r="D23" i="8" s="1"/>
  <c r="F12" i="12" l="1"/>
  <c r="H12" i="12" s="1"/>
  <c r="C7" i="6"/>
  <c r="E7" i="6" s="1"/>
  <c r="F7" i="6" s="1"/>
  <c r="E21" i="8"/>
  <c r="E23" i="8" s="1"/>
  <c r="G18" i="8"/>
  <c r="E24" i="8"/>
  <c r="F9" i="4"/>
  <c r="G8" i="4"/>
  <c r="E13" i="12"/>
  <c r="F18" i="8"/>
  <c r="F19" i="8"/>
  <c r="G17" i="8"/>
  <c r="G19" i="8"/>
  <c r="E14" i="12" l="1"/>
  <c r="F10" i="4"/>
  <c r="G9" i="4"/>
  <c r="C8" i="6"/>
  <c r="E8" i="6" s="1"/>
  <c r="F8" i="6" s="1"/>
  <c r="F13" i="12"/>
  <c r="H13" i="12" s="1"/>
  <c r="F21" i="8"/>
  <c r="F23" i="8" s="1"/>
  <c r="B30" i="8" l="1"/>
  <c r="B28" i="8"/>
  <c r="G23" i="8"/>
  <c r="B27" i="8"/>
  <c r="F24" i="8"/>
  <c r="G21" i="8"/>
  <c r="F14" i="12"/>
  <c r="H14" i="12" s="1"/>
  <c r="C9" i="6"/>
  <c r="E9" i="6" s="1"/>
  <c r="F9" i="6" s="1"/>
  <c r="F11" i="4"/>
  <c r="G10" i="4"/>
  <c r="C10" i="6" l="1"/>
  <c r="E10" i="6" s="1"/>
  <c r="F10" i="6" s="1"/>
  <c r="F12" i="4"/>
  <c r="G11" i="4"/>
  <c r="C11" i="6" s="1"/>
  <c r="E11" i="6" s="1"/>
  <c r="F11" i="6" s="1"/>
  <c r="G12" i="4" l="1"/>
  <c r="F13" i="4"/>
  <c r="G13" i="4" l="1"/>
  <c r="C13" i="6" s="1"/>
  <c r="E13" i="6" s="1"/>
  <c r="F13" i="6" s="1"/>
  <c r="F14" i="4"/>
  <c r="C12" i="6"/>
  <c r="E12" i="6" s="1"/>
  <c r="F12" i="6" s="1"/>
  <c r="F15" i="4" l="1"/>
  <c r="G14" i="4"/>
  <c r="C14" i="6" s="1"/>
  <c r="E14" i="6" s="1"/>
  <c r="F14" i="6" s="1"/>
  <c r="G15" i="4" l="1"/>
  <c r="C15" i="6" s="1"/>
  <c r="E15" i="6" s="1"/>
  <c r="F15" i="6" s="1"/>
  <c r="F16" i="4"/>
  <c r="F17" i="4" l="1"/>
  <c r="G16" i="4"/>
  <c r="C16" i="6" s="1"/>
  <c r="E16" i="6" s="1"/>
  <c r="F16" i="6" s="1"/>
  <c r="F18" i="4" l="1"/>
  <c r="G17" i="4"/>
  <c r="C17" i="6" s="1"/>
  <c r="E17" i="6" s="1"/>
  <c r="F17" i="6" s="1"/>
  <c r="F19" i="4" l="1"/>
  <c r="G19" i="4" s="1"/>
  <c r="G18" i="4"/>
  <c r="C18" i="6" s="1"/>
  <c r="E18" i="6" s="1"/>
  <c r="F18" i="6" s="1"/>
  <c r="C19" i="6" l="1"/>
  <c r="E19" i="6" s="1"/>
  <c r="F19" i="6" s="1"/>
  <c r="G5" i="12"/>
</calcChain>
</file>

<file path=xl/sharedStrings.xml><?xml version="1.0" encoding="utf-8"?>
<sst xmlns="http://schemas.openxmlformats.org/spreadsheetml/2006/main" count="466" uniqueCount="325">
  <si>
    <t>MirAqua — Аналитический пакет: исследование рынка, конкуренты, продуктовые рекомендации</t>
  </si>
  <si>
    <t>Назначение пакета</t>
  </si>
  <si>
    <t>Этот файл — рабочий пример (proof of concept) того, как маркетолог-аналитик может закрывать ключевые задачи MirAqua / Green Mira Group: мониторинг рынка, анализ конкурентов и поставщиков, продуктовые рекомендации, поддержка коммерческого отдела в принятии решений. Все цифры синтетические; методология, структура листов и формулы — рабочие, переносимы на реальные данные за 1–2 дня.</t>
  </si>
  <si>
    <t>Карта листов (сверху вниз = от данных к решениям)</t>
  </si>
  <si>
    <t>01_Цены_конкурентов     — еженедельный мониторинг цен ключевых игроков, расчёт ценового индекса и Δ к рынку.</t>
  </si>
  <si>
    <t>02_Сравнение_поставщиков — матрица сравнения поставщиков форелевой икры по 10 параметрам, скоринговая модель.</t>
  </si>
  <si>
    <t>03_ABC_анализ           — ABC-классификация SKU по выручке, накопительная доля.</t>
  </si>
  <si>
    <t>04_XYZ_анализ           — XYZ-классификация SKU по стабильности продаж (коэффициент вариации).</t>
  </si>
  <si>
    <t>05_ABC_XYZ_матрица      — совмещённая матрица 3×3 с готовыми стратегическими рекомендациями.</t>
  </si>
  <si>
    <t>06_Юнит_экономика       — выручка, COGS, валовая и контрибуционная маржа по SKU.</t>
  </si>
  <si>
    <t>07_ROI_новый_продукт    — модель окупаемости запуска нового SKU: payback, NPV, чувствительность.</t>
  </si>
  <si>
    <t>08_Сезонность           — помесячные продажи, сезонные коэффициенты, прогноз на горизонт.</t>
  </si>
  <si>
    <t>09_Импортозамещение     — gap-анализ между импортной зависимостью РФ и внутренним предложением.</t>
  </si>
  <si>
    <t>10_Бенчмарк_стран       — сравнение Норвегия / ЕС / США / Турция / Китай: что заимствовать.</t>
  </si>
  <si>
    <t>11_Дашборд              — KPI-сводка для коммерческого директора (выручка, маржа, ABC/XYZ, индекс цен).</t>
  </si>
  <si>
    <t>Принципы работы</t>
  </si>
  <si>
    <t>1) Данные → модель → вывод. Каждый лист отвечает на бизнес-вопрос, а не просто визуализирует таблицу.</t>
  </si>
  <si>
    <t>2) Каждая ячейка-вывод — формула, не «руками вписано». При обновлении данных пересчёт автоматический.</t>
  </si>
  <si>
    <t>3) Каждый лист содержит блок «Вывод и рекомендация» — это то, что идёт в отчёт коммерческому директору.</t>
  </si>
  <si>
    <t>Как это связано с задачами вакансии</t>
  </si>
  <si>
    <t>Блок 1 «Исследовать рынок и конкурентов»: листы 01, 02, 09, 10.</t>
  </si>
  <si>
    <t>Блок 2 «Анализировать продукты и давать рекомендации»: листы 03, 04, 05, 06, 07.</t>
  </si>
  <si>
    <t>Блок 3 «Поддерживать коммерческий отдел»: лист 11 (дашборд) + любой из листов выше как «карточка продукта»/«сравнительная таблица».</t>
  </si>
  <si>
    <t>Стек инструментов в пакете</t>
  </si>
  <si>
    <t>Excel: ВПР/XLOOKUP, INDEX-MATCH, SUMIFS, COUNTIFS, СУММЕСЛИМН, сводные формулы, ранжирование, условное форматирование, диаграммы.</t>
  </si>
  <si>
    <t>Опциональное расширение: Power Query для подключения парсенных прайсов конкурентов; Python (requests + BeautifulSoup) + LLM (через make.com / n8n) для еженедельного автоматического сбора и нормализации.</t>
  </si>
  <si>
    <t>Автор: подготовлено как тренировочный артефакт под собеседование на позицию маркетолога-аналитика MirAqua (Green Mira Group, Владикавказ).</t>
  </si>
  <si>
    <t>01. Мониторинг цен конкурентов (форелевая икра, малёк, товарная рыба)</t>
  </si>
  <si>
    <t>Источник данных: парсер сайтов конкурентов + LLM-нормализация (make.com/n8n) → еженедельный snapshot. Здесь — последние 8 недель.</t>
  </si>
  <si>
    <t>Икра форелевая, оплодотворённая   (₽/1000 шт)</t>
  </si>
  <si>
    <t>Конкурент</t>
  </si>
  <si>
    <t>01.09.25</t>
  </si>
  <si>
    <t>08.09.25</t>
  </si>
  <si>
    <t>15.09.25</t>
  </si>
  <si>
    <t>22.09.25</t>
  </si>
  <si>
    <t>29.09.25</t>
  </si>
  <si>
    <t>06.10.25</t>
  </si>
  <si>
    <t>13.10.25</t>
  </si>
  <si>
    <t>20.10.25</t>
  </si>
  <si>
    <t>Avg 8 нед.</t>
  </si>
  <si>
    <t>Δ нед.</t>
  </si>
  <si>
    <t>Индекс к MirAqua</t>
  </si>
  <si>
    <t>MirAqua</t>
  </si>
  <si>
    <t>Инарктика</t>
  </si>
  <si>
    <t>Адлерская форель</t>
  </si>
  <si>
    <t>Кала-Ранта (импорт)</t>
  </si>
  <si>
    <t>AquaGen-РФ</t>
  </si>
  <si>
    <t>Региональная ферма</t>
  </si>
  <si>
    <t>Малёк форели, 3-5 г   (₽/шт)</t>
  </si>
  <si>
    <t>Товарная форель, 1-1.5 кг   (₽/кг)</t>
  </si>
  <si>
    <t>Вывод и рекомендации (под отчёт коммерческому директору)</t>
  </si>
  <si>
    <t>1. По икре MirAqua держит ценовое преимущество ~−7% к Инарктике и ~−18% к импортной Кала-Ранта. Этот разрыв — наш ключевой коммерческий аргумент в холодных переговорах с фермами.</t>
  </si>
  <si>
    <t>2. По мальку «Региональная ферма» демонстрирует более низкую цену на ~6%, но без сертификата выживаемости (см. лист 02). Реальный риск переключения клиентов = низкий.</t>
  </si>
  <si>
    <t>3. Цены растут линейно ~0.5%/нед. (см. столбец Δ нед.). Нужно зафиксировать прайсы по контрактам с ключевыми клиентами на квартал, чтобы не индексироваться вверх вместе с рынком.</t>
  </si>
  <si>
    <t>4. Импортная альтернатива (Кала-Ранта) +18% по цене → возможность импорт-замещения; см. лист 09.</t>
  </si>
  <si>
    <t>02. Сравнение поставщиков форелевой икры — скоринговая модель</t>
  </si>
  <si>
    <t>Цель: на основе 10 параметров сравнить альтернативы для контракта на 2025–2026 гг. Веса параметров — экспертные, можно крутить.</t>
  </si>
  <si>
    <t>Веса параметров (сумма = 100%)</t>
  </si>
  <si>
    <t>Параметр</t>
  </si>
  <si>
    <t>Вес</t>
  </si>
  <si>
    <t>Цена за 1000 икринок</t>
  </si>
  <si>
    <t>Заявленная выживаемость, %</t>
  </si>
  <si>
    <t>Минимальная партия (тыс. шт)</t>
  </si>
  <si>
    <t>Срок поставки, дни</t>
  </si>
  <si>
    <t>Сертификация (баллы 1-5)</t>
  </si>
  <si>
    <t>Генетика / устойчивость к IPN (1-5)</t>
  </si>
  <si>
    <t>Опыт работы с РФ (баллы 1-5)</t>
  </si>
  <si>
    <t>Гибкость условий оплаты (1-5)</t>
  </si>
  <si>
    <t>Логистика / температурный контроль (1-5)</t>
  </si>
  <si>
    <t>Тех. поддержка после поставки (1-5)</t>
  </si>
  <si>
    <t>Итого</t>
  </si>
  <si>
    <t>Поставщик</t>
  </si>
  <si>
    <t>Страна</t>
  </si>
  <si>
    <t>Цена ₽/1000</t>
  </si>
  <si>
    <t>Выживаемость %</t>
  </si>
  <si>
    <t>Мин. партия (тыс)</t>
  </si>
  <si>
    <t>Срок, дн.</t>
  </si>
  <si>
    <t>Сертификация</t>
  </si>
  <si>
    <t>Генетика</t>
  </si>
  <si>
    <t>Опыт РФ</t>
  </si>
  <si>
    <t>Условия оплаты</t>
  </si>
  <si>
    <t>Логистика</t>
  </si>
  <si>
    <t>Тех.поддержка</t>
  </si>
  <si>
    <t>Сводный балл</t>
  </si>
  <si>
    <t>Ранг</t>
  </si>
  <si>
    <t>MirAqua (внутренний)</t>
  </si>
  <si>
    <t>РФ</t>
  </si>
  <si>
    <t>AquaGen</t>
  </si>
  <si>
    <t>Норвегия</t>
  </si>
  <si>
    <t>Benchmark Genetics</t>
  </si>
  <si>
    <t>Hendrix Genetics</t>
  </si>
  <si>
    <t>Нидерланды</t>
  </si>
  <si>
    <t>Troutlodge</t>
  </si>
  <si>
    <t>США</t>
  </si>
  <si>
    <t>Региональная ферма РФ</t>
  </si>
  <si>
    <t>Кала-Ранта</t>
  </si>
  <si>
    <t>Финляндия</t>
  </si>
  <si>
    <t>Вывод и рекомендация</t>
  </si>
  <si>
    <t>1. Внутреннее производство MirAqua даёт максимальный сводный балл за счёт минимальной логистики и быстрой поставки. Стратегия: масштабировать собственное маточное стадо.</t>
  </si>
  <si>
    <t>2. AquaGen и Benchmark — лучшие премиум-альтернативы для нишевых партий с упором на устойчивость к IPN. Использовать как «премиум-линейку» для крупных промышленных хозяйств.</t>
  </si>
  <si>
    <t>3. Региональная ферма РФ — низкая цена, но просадка по выживаемости и сертификации. Пригодится только как backup-поставщик в форс-мажор.</t>
  </si>
  <si>
    <t>4. Кала-Ранта (Финляндия): после санкционных ограничений — снижение приоритета. Закладываем в импорт-замещение (см. лист 09).</t>
  </si>
  <si>
    <t>03. ABC-анализ ассортимента MirAqua (по выручке за 12 мес.)</t>
  </si>
  <si>
    <t>Метод: сортировка SKU по убыванию выручки → накопительная доля → классы A (до 80%), B (80-95%), C (&gt;95%).</t>
  </si>
  <si>
    <t>№</t>
  </si>
  <si>
    <t>SKU</t>
  </si>
  <si>
    <t>Категория</t>
  </si>
  <si>
    <t>Выручка, ₽</t>
  </si>
  <si>
    <t>Доля %</t>
  </si>
  <si>
    <t>Накопит. доля %</t>
  </si>
  <si>
    <t>Класс ABC</t>
  </si>
  <si>
    <t>Икра форелевая 100К партия (фермы)</t>
  </si>
  <si>
    <t>Икра</t>
  </si>
  <si>
    <t>Малёк форели 3-5г, оптом</t>
  </si>
  <si>
    <t>Малёк</t>
  </si>
  <si>
    <t>Товарная форель 1-1.5 кг (сети)</t>
  </si>
  <si>
    <t>Товарная</t>
  </si>
  <si>
    <t>Икра форелевая 50К партия (средние фермы)</t>
  </si>
  <si>
    <t>Малёк форели 5-10г, оптом</t>
  </si>
  <si>
    <t>Товарная форель 0.7-1 кг (HoReCa)</t>
  </si>
  <si>
    <t>Икра форелевая 25К партия (мелкие)</t>
  </si>
  <si>
    <t>Малёк форели 1-3г, оптом</t>
  </si>
  <si>
    <t>Товарная форель &gt;1.5 кг (премиум)</t>
  </si>
  <si>
    <t>Икра форелевая, дегустационная партия</t>
  </si>
  <si>
    <t>Малёк форели на доращивание (контракт)</t>
  </si>
  <si>
    <t>Икра премиум (IPN-устойчивая)</t>
  </si>
  <si>
    <t>Товарная форель копчёная (b2b)</t>
  </si>
  <si>
    <t>Малёк, экспериментальная порода</t>
  </si>
  <si>
    <t>Икра, малая партия для НИОКР</t>
  </si>
  <si>
    <t>Класс A: 3-5 SKU дают 80% выручки. Защищаем уровень сервиса, страховой запас, прогноз на 13 нед., прайс пересматриваем редко и аккуратно.</t>
  </si>
  <si>
    <t>Класс B: умеренная важность. Поддерживаем, но допускаем гибкие промо и сезонные акции.</t>
  </si>
  <si>
    <t>Класс C: пересматриваем. Часть SKU — кандидаты на вывод из ассортимента (особенно если они ещё и Z по стабильности — см. лист 05).</t>
  </si>
  <si>
    <t>04. XYZ-анализ ассортимента (стабильность спроса по 12 мес.)</t>
  </si>
  <si>
    <t>Метод: для каждого SKU помесячные продажи → СКО / среднее = коэф. вариации (CV). X: CV&lt;10% (стабильно), Y: 10-25% (сезонность), Z: &gt;25% (нестабильно).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</si>
  <si>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</si>
  <si>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</si>
  <si>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</si>
  <si>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</si>
  <si>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</si>
  <si>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</si>
  <si>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</si>
  <si>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</si>
  <si>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</si>
  <si>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</si>
  <si>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</si>
  <si>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</si>
  <si>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Среднее</t>
  </si>
  <si>
    <t>СКО</t>
  </si>
  <si>
    <t>CV %</t>
  </si>
  <si>
    <t>XYZ</t>
  </si>
  <si>
    <t>X: стабильный спрос, можно работать «под план», экономить на запасах.</t>
  </si>
  <si>
    <t>Y: выраженная сезонность (типично для икры — весна/осень). Прогноз должен учитывать сезонные коэффициенты (см. лист 08).</t>
  </si>
  <si>
    <t>Z: нестабильный спрос, чаще всего — экспериментальные SKU и нерегулярные клиенты. Закупки только под подтверждённый заказ.</t>
  </si>
  <si>
    <t>05. ABC × XYZ — стратегическая матрица ассортимента</t>
  </si>
  <si>
    <t>Совмещаем результаты листов 03 и 04. Каждой ячейке матрицы соответствует своя стратегия управления SKU.</t>
  </si>
  <si>
    <t>Класс XYZ</t>
  </si>
  <si>
    <t>Группа</t>
  </si>
  <si>
    <t>Стратегия / рекомендация</t>
  </si>
  <si>
    <t>Стратегия</t>
  </si>
  <si>
    <t>AX</t>
  </si>
  <si>
    <t>Ядро бизнеса. Защита: страховой запас, эксклюзивный сервис, минимум промо. Прайс — стабильный.</t>
  </si>
  <si>
    <t>AY</t>
  </si>
  <si>
    <t>Ключевой сезонный продукт. Прогноз с сезонностью (лист 08). Контракты «по графику закупок».</t>
  </si>
  <si>
    <t>AZ</t>
  </si>
  <si>
    <t>Высокая выручка + нестабильный спрос. Гибкое производство, work-on-demand, риск-надбавка к цене.</t>
  </si>
  <si>
    <t>BX</t>
  </si>
  <si>
    <t>Стабильные «середняки». Стандартный сервис, можно тестировать кросс-продажи в А.</t>
  </si>
  <si>
    <t>BY</t>
  </si>
  <si>
    <t>Сезонные «середняки». Промо в низкий сезон, бандлы с А-товарами.</t>
  </si>
  <si>
    <t>BZ</t>
  </si>
  <si>
    <t>Среднее место + волатильность. Требует ручного контроля, кандидат на оптимизацию пакетирования.</t>
  </si>
  <si>
    <t>CX</t>
  </si>
  <si>
    <t>Низкая выручка, но стабильный спрос. Сохраняем как long tail / «сервис для лояльных».</t>
  </si>
  <si>
    <t>CY</t>
  </si>
  <si>
    <t>Низкая выручка, сезонность. Минимальные обязательства, без складских запасов.</t>
  </si>
  <si>
    <t>CZ</t>
  </si>
  <si>
    <t>Кандидаты на вывод из ассортимента. Освобождаем ресурсы для А и B.</t>
  </si>
  <si>
    <t>Как использовать матрицу на практике</t>
  </si>
  <si>
    <t>1. Раз в квартал прогоняем актуальные данные через листы 03 и 04 — это тригерит автообновление матрицы здесь.</t>
  </si>
  <si>
    <t>2. Группы AX/AY/AZ — топ-приоритет коммерческого отдела. По ним делаем отдельные карточки продукта (пример — лист 06).</t>
  </si>
  <si>
    <t>3. Группа CZ — кандидаты на вывод из ассортимента; решение принимается на ежеквартальном комитете по продукту.</t>
  </si>
  <si>
    <t>06. Юнит-экономика по SKU: маржа, контрибуция, точка безубыточности</t>
  </si>
  <si>
    <t>Метрики: цена за единицу → переменные затраты → валовая маржа → доля постоянных → контрибуционная маржа.</t>
  </si>
  <si>
    <t>Цена/ед., ₽</t>
  </si>
  <si>
    <t>COGS/ед., ₽</t>
  </si>
  <si>
    <t>Валовая маржа, ₽</t>
  </si>
  <si>
    <t>Маржа %</t>
  </si>
  <si>
    <t>Объём, ед./год</t>
  </si>
  <si>
    <t>Выручка, ₽/год</t>
  </si>
  <si>
    <t>Валовая прибыль, ₽/год</t>
  </si>
  <si>
    <t>Контриб. на ед. (после прямых ОПЕР), ₽</t>
  </si>
  <si>
    <t>Икра форелевая 100К партия</t>
  </si>
  <si>
    <t>Малёк форели 3-5г</t>
  </si>
  <si>
    <t>Товарная форель 1-1.5 кг</t>
  </si>
  <si>
    <t>Икра форелевая 50К партия</t>
  </si>
  <si>
    <t>Малёк форели 5-10г</t>
  </si>
  <si>
    <t>Товарная форель премиум</t>
  </si>
  <si>
    <t>ИТОГО</t>
  </si>
  <si>
    <t>Точка безубыточности (бизнес-юнит, общий уровень)</t>
  </si>
  <si>
    <t>Постоянные затраты (год), ₽</t>
  </si>
  <si>
    <t>Сред. контрибуционная маржа по бизнес-юниту</t>
  </si>
  <si>
    <t>BEP (ед./год, нормализовано)</t>
  </si>
  <si>
    <t>Текущий годовой объём, ед.</t>
  </si>
  <si>
    <t>Запас прочности (margin of safety)</t>
  </si>
  <si>
    <t>Вывод</t>
  </si>
  <si>
    <t>Самая высокая маржа в % — у мальков и икры малых партий, но в абсолюте «деньги» приходят с крупных партий икры и товарной рыбы.</t>
  </si>
  <si>
    <t>Защищаем самые рентабельные SKU контрактной ценой; на низкомаржинальные SKU вводим минимальный объём отгрузки.</t>
  </si>
  <si>
    <t>Запас прочности по объёму — индикатор для коммерческого директора, насколько мы переработали BEP.</t>
  </si>
  <si>
    <t>07. Запуск нового продукта: «Икра премиум, IPN-устойчивая» — ROI и payback</t>
  </si>
  <si>
    <t>Модель оценки целесообразности добавления нового SKU. Меняйте допущения в жёлтых ячейках — модель пересчитается.</t>
  </si>
  <si>
    <t>Допущения</t>
  </si>
  <si>
    <t>Инвестиции на запуск (R&amp;D, сертификация, маточное стадо), ₽</t>
  </si>
  <si>
    <t>Цена продажи, ₽/1000 икринок</t>
  </si>
  <si>
    <t>COGS, ₽/1000 икринок</t>
  </si>
  <si>
    <t>Прогнозный объём год 1 (тыс. икринок)</t>
  </si>
  <si>
    <t>Темп роста объёма год к году, %</t>
  </si>
  <si>
    <t>Постоянные доп. затраты в год, ₽ (ветконтроль, маркетинг)</t>
  </si>
  <si>
    <t>Ставка дисконтирования, %</t>
  </si>
  <si>
    <t>Горизонт оценки, лет</t>
  </si>
  <si>
    <t>Прогноз денежных потоков</t>
  </si>
  <si>
    <t>Показатель</t>
  </si>
  <si>
    <t>Год 1</t>
  </si>
  <si>
    <t>Год 2</t>
  </si>
  <si>
    <t>Год 3</t>
  </si>
  <si>
    <t>Год 4</t>
  </si>
  <si>
    <t>Год 5</t>
  </si>
  <si>
    <t>Объём, тыс. икринок</t>
  </si>
  <si>
    <t>COGS, ₽</t>
  </si>
  <si>
    <t>Постоянные доп. затраты, ₽</t>
  </si>
  <si>
    <t>Операционный CF, ₽</t>
  </si>
  <si>
    <t>CAPEX (год 0)</t>
  </si>
  <si>
    <t>Чистый CF, ₽</t>
  </si>
  <si>
    <t>Накопительный CF, ₽</t>
  </si>
  <si>
    <t>Метрики окупаемости</t>
  </si>
  <si>
    <t>NPV @ ставке B10, ₽</t>
  </si>
  <si>
    <t>IRR, %</t>
  </si>
  <si>
    <t>Payback (грубо), лет</t>
  </si>
  <si>
    <t>ROI 5 лет = (Σ CF − CAPEX) / CAPEX</t>
  </si>
  <si>
    <t>Чувствительность NPV: ось X = объём год 1, ось Y = цена</t>
  </si>
  <si>
    <t>NPV @18%</t>
  </si>
  <si>
    <t>Базовый сценарий (цена 5 900 ₽/тыс., объём 12 000 тыс. икринок) — payback 3 года, IRR ~30%, NPV положительный.</t>
  </si>
  <si>
    <t>Чувствительность: при просадке цены до 4 900 ₽/тыс. NPV падает к нулю — нужен договор-намерение хотя бы с 2 крупными хозяйствами на минимальные 8 000 тыс. икринок.</t>
  </si>
  <si>
    <t>Рекомендация: GO с условием — фиксированные предзаказы на 60% объёма год 1 (договор-намерение).</t>
  </si>
  <si>
    <t>08. Сезонность продаж и сезонные коэффициенты</t>
  </si>
  <si>
    <t>Метод: помесячные продажи / средний месяц = сезонный индекс. Используем для прогноза и для контракт-планирования.</t>
  </si>
  <si>
    <t>Прогноз помесячно на следующий год (введите годовой план в B12, прогноз пересчитается)</t>
  </si>
  <si>
    <t>План год</t>
  </si>
  <si>
    <t>Икра — два пика: март-апрель (нерест/закладка на сезон) и сентябрь-октябрь (доращивание). Контракты с крупными фермами должны быть подписаны до конца января.</t>
  </si>
  <si>
    <t>Малёк — выраженный весенний пик. Резерв мощностей по инкубации — приоритет до конца февраля.</t>
  </si>
  <si>
    <t>Товарная рыба — относительно ровно, лёгкий пик в октябре (сетевые промо к осенне-зимнему сезону).</t>
  </si>
  <si>
    <t>09. Импортозамещение — gap-анализ</t>
  </si>
  <si>
    <t>Сравниваем импортную зависимость РФ-рынка с возможностями MirAqua и определяем ниши с высоким приоритетом.</t>
  </si>
  <si>
    <t>Сегмент / продукт</t>
  </si>
  <si>
    <t>Объём рынка РФ, ₽/год</t>
  </si>
  <si>
    <t>Доля импорта, %</t>
  </si>
  <si>
    <t>Импорт в деньгах, ₽</t>
  </si>
  <si>
    <t>Цена импорт vs РФ, %</t>
  </si>
  <si>
    <t>Тех. барьер 1-5</t>
  </si>
  <si>
    <t>Приоритет (расч.)</t>
  </si>
  <si>
    <t>Действие</t>
  </si>
  <si>
    <t>Икра форелевая, инкубация</t>
  </si>
  <si>
    <t>Малёк форели, посадочный мат.</t>
  </si>
  <si>
    <t>Корма стартовые (хетчеринг)</t>
  </si>
  <si>
    <t>Корма продукционные</t>
  </si>
  <si>
    <t>УЗВ-оборудование, малые</t>
  </si>
  <si>
    <t>УЗВ-оборудование, промышленные</t>
  </si>
  <si>
    <t>Ветеринарные препараты</t>
  </si>
  <si>
    <t>ИКТ-системы (мониторинг)</t>
  </si>
  <si>
    <t>Высокий приоритет — корма (продукционные и стартовые): большая доля импорта, высокая наценка, рынок огромный. Возможный путь — партнёрство с локальным производителем (контрактное производство).</t>
  </si>
  <si>
    <t>Икра/малёк — фокус MirAqua. Возможность забрать часть импортного сегмента у Кала-Ранта и AquaGen в средне-малых партиях, где скорость и сервис важнее премиум-генетики.</t>
  </si>
  <si>
    <t>УЗВ промышленные — высокий тех. барьер (5/5). Стратегия — не делать самим, а стать дистрибутором/интегратором лучших зарубежных решений.</t>
  </si>
  <si>
    <t>10. Бенчмарк зарубежных рынков-эталонов: Норвегия / ЕС / США / Турция / Китай</t>
  </si>
  <si>
    <t>Цель: вытащить лучшие практики и определить, что можно перенести в РФ. Метод — структурированное сравнение.</t>
  </si>
  <si>
    <t>Объём аквакультуры (≈)</t>
  </si>
  <si>
    <t>Ключевые виды</t>
  </si>
  <si>
    <t>Технологии-флагманы</t>
  </si>
  <si>
    <t>Что заимствовать MirAqua</t>
  </si>
  <si>
    <t>Барьер для переноса</t>
  </si>
  <si>
    <t>Приоритет (1-5)</t>
  </si>
  <si>
    <t>1.5+ млн т/год лосось+форель</t>
  </si>
  <si>
    <t>Атлантический лосось, форель</t>
  </si>
  <si>
    <t>Морские садки, селекция (AquaGen, Benchmark), функциональные корма (Skretting)</t>
  </si>
  <si>
    <t>Селекция икры (IPN-устойчивость), цифровизация фермы (мониторинг, ML-прогноз роста)</t>
  </si>
  <si>
    <t>Санкции/доступ к технологиям; высокая стоимость лицензий</t>
  </si>
  <si>
    <t>ЕС (Греция, Италия)</t>
  </si>
  <si>
    <t>~600 тыс. т сибас/дорадо</t>
  </si>
  <si>
    <t>Сибас, дорадо, форель</t>
  </si>
  <si>
    <t>Полносистемная продуктовая интеграция (от мальков до сетей розницы), СПС-маркетинг</t>
  </si>
  <si>
    <t>Модель «продукт+рецепт+бренд» — повышение маржи через брендирование</t>
  </si>
  <si>
    <t>Логистика, отличия в потреб. предпочтениях</t>
  </si>
  <si>
    <t>~600 тыс. т (с креветкой и устрицей)</t>
  </si>
  <si>
    <t>Форель (Riverence), сом, устрицы</t>
  </si>
  <si>
    <t>УЗВ-проекты под лосось (Atlantic Sapphire), компьютерное зрение в кормораздаче</t>
  </si>
  <si>
    <t>УЗВ для регионов без природных условий — РФ потенциал большой</t>
  </si>
  <si>
    <t>CAPEX и компетенции по эксплуатации УЗВ</t>
  </si>
  <si>
    <t>Турция</t>
  </si>
  <si>
    <t>~510 тыс. т аквакультуры</t>
  </si>
  <si>
    <t>Форель радужная (мировой топ-3 экспортёр)</t>
  </si>
  <si>
    <t>Низкая себестоимость, фокус на экспорт в СНГ и ЕС, плотные форелевые фермы</t>
  </si>
  <si>
    <t>Сценарии низкосебестоимостной форели, экспортные модели в страны СНГ</t>
  </si>
  <si>
    <t>Климатические условия частично воспроизводимы в южных регионах РФ</t>
  </si>
  <si>
    <t>Китай</t>
  </si>
  <si>
    <t>~50+ млн т (всё аквакультура)</t>
  </si>
  <si>
    <t>Карповые, тилапия, рост лосось/форель в УЗВ</t>
  </si>
  <si>
    <t>Массовое внедрение УЗВ, IoT-датчики качества воды, государственные программы</t>
  </si>
  <si>
    <t>Системы IoT-мониторинга (датчики O₂, pH, температуры) — недорогие альтернативы Skretting/AKVA</t>
  </si>
  <si>
    <t>Языковой барьер, сертификация, репутация качества</t>
  </si>
  <si>
    <t>Что делаем с этим бенчмарком</t>
  </si>
  <si>
    <t>Обновляем раз в квартал (короткий ресёрч-отчёт на 2-3 страницы по странам с самым высоким приоритетом).</t>
  </si>
  <si>
    <t>Связываем выводы с листом 09 «Импортозамещение»: если технология «to learn from» совпадает с GO-нишей — это сигнал в продуктовый комитет.</t>
  </si>
  <si>
    <t>По каждой стране ведём «папку источников» (annual reports Mowi/Skretting, IntraFish, Undercurrent News, FAO SOFIA). Это и есть основа квартального обзора.</t>
  </si>
  <si>
    <t>11. Дашборд для коммерческого директора</t>
  </si>
  <si>
    <t>KPI-сводка по бизнес-юниту MirAqua. Все цифры — формулы из листов 03, 06, 09.</t>
  </si>
  <si>
    <t>Средняя маржа %</t>
  </si>
  <si>
    <t>Доля A-классов в выручке</t>
  </si>
  <si>
    <t>Топ-5 SKU по выручке (auto)</t>
  </si>
  <si>
    <t>#</t>
  </si>
  <si>
    <t>Накопит. %</t>
  </si>
  <si>
    <t>Импортозамещение: топ-3 ниши с приоритетом GO</t>
  </si>
  <si>
    <t>Сегмент</t>
  </si>
  <si>
    <t>Объём рынка ₽</t>
  </si>
  <si>
    <t>Доля импорта</t>
  </si>
  <si>
    <t>Наценка импорта</t>
  </si>
  <si>
    <t>Приоритет</t>
  </si>
  <si>
    <t>Этот лист и есть «отчёт коммерческому директору». В реальной работе сюда же подключаются Power Query / Power BI / DataLens к свежим данным.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</si>
</sst>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&quot; ₽&quot;"/>
  </numFmts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3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3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left"/>
    </xf>
    <xf numFmtId="164" fontId="3" fillId="6" borderId="2" xfId="0" applyNumberFormat="1" applyFont="1" applyFill="1" applyBorder="1"/>
    <xf numFmtId="0" fontId="0" fillId="0" borderId="2" xfId="0" applyBorder="1" applyAlignment="1">
      <alignment horizontal="center"/>
    </xf>
    <xf numFmtId="165" fontId="0" fillId="0" borderId="2" xfId="0" applyNumberFormat="1" applyBorder="1"/>
    <xf numFmtId="9" fontId="0" fillId="0" borderId="2" xfId="0" applyNumberFormat="1" applyBorder="1"/>
    <xf numFmtId="165" fontId="3" fillId="6" borderId="2" xfId="0" applyNumberFormat="1" applyFont="1" applyFill="1" applyBorder="1"/>
    <xf numFmtId="165" fontId="3" fillId="7" borderId="2" xfId="0" applyNumberFormat="1" applyFont="1" applyFill="1" applyBorder="1"/>
    <xf numFmtId="3" fontId="3" fillId="6" borderId="2" xfId="0" applyNumberFormat="1" applyFon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3" borderId="3" xfId="0" applyFont="1" applyFill="1" applyBorder="1" applyAlignment="1">
      <alignment horizontal="center" vertical="center"/>
    </xf>
    <xf numFmtId="0" fontId="0" fillId="0" borderId="7" xfId="0" applyBorder="1"/>
    <xf numFmtId="165" fontId="3" fillId="6" borderId="2" xfId="0" applyNumberFormat="1" applyFont="1" applyFill="1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164" fontId="3" fillId="6" borderId="2" xfId="0" applyNumberFormat="1" applyFont="1" applyFill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Сезонные коэффициенты по категориям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'08_Сезонность'!$A$5</c:f>
              <c:strCache>
                <c:ptCount val="1"/>
                <c:pt idx="0">
                  <c:v>Икра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'08_Сезонность'!$B$4:$M$4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'08_Сезонность'!$B$5:$M$5</c:f>
              <c:numCache>
                <c:formatCode>#,##0.00</c:formatCode>
                <c:ptCount val="12"/>
                <c:pt idx="0">
                  <c:v>0.7</c:v>
                </c:pt>
                <c:pt idx="1">
                  <c:v>0.8</c:v>
                </c:pt>
                <c:pt idx="2">
                  <c:v>1.4</c:v>
                </c:pt>
                <c:pt idx="3">
                  <c:v>1.6</c:v>
                </c:pt>
                <c:pt idx="4">
                  <c:v>1</c:v>
                </c:pt>
                <c:pt idx="5">
                  <c:v>0.6</c:v>
                </c:pt>
                <c:pt idx="6">
                  <c:v>0.5</c:v>
                </c:pt>
                <c:pt idx="7">
                  <c:v>0.6</c:v>
                </c:pt>
                <c:pt idx="8">
                  <c:v>1.4</c:v>
                </c:pt>
                <c:pt idx="9">
                  <c:v>1.5</c:v>
                </c:pt>
                <c:pt idx="10">
                  <c:v>0.9</c:v>
                </c:pt>
                <c:pt idx="11">
                  <c:v>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F7-9643-A5D4-B1B3CCFF0154}"/>
            </c:ext>
          </c:extLst>
        </c:ser>
        <c:ser>
          <c:idx val="1"/>
          <c:order val="1"/>
          <c:tx>
            <c:strRef>
              <c:f>'08_Сезонность'!$A$6</c:f>
              <c:strCache>
                <c:ptCount val="1"/>
                <c:pt idx="0">
                  <c:v>Малёк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'08_Сезонность'!$B$4:$M$4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'08_Сезонность'!$B$6:$M$6</c:f>
              <c:numCache>
                <c:formatCode>#,##0.00</c:formatCode>
                <c:ptCount val="12"/>
                <c:pt idx="0">
                  <c:v>0.6</c:v>
                </c:pt>
                <c:pt idx="1">
                  <c:v>0.7</c:v>
                </c:pt>
                <c:pt idx="2">
                  <c:v>1.5</c:v>
                </c:pt>
                <c:pt idx="3">
                  <c:v>1.6</c:v>
                </c:pt>
                <c:pt idx="4">
                  <c:v>1.4</c:v>
                </c:pt>
                <c:pt idx="5">
                  <c:v>1</c:v>
                </c:pt>
                <c:pt idx="6">
                  <c:v>0.8</c:v>
                </c:pt>
                <c:pt idx="7">
                  <c:v>0.7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F7-9643-A5D4-B1B3CCFF0154}"/>
            </c:ext>
          </c:extLst>
        </c:ser>
        <c:ser>
          <c:idx val="2"/>
          <c:order val="2"/>
          <c:tx>
            <c:strRef>
              <c:f>'08_Сезонность'!$A$7</c:f>
              <c:strCache>
                <c:ptCount val="1"/>
                <c:pt idx="0">
                  <c:v>Товарная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'08_Сезонность'!$B$4:$M$4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'08_Сезонность'!$B$7:$M$7</c:f>
              <c:numCache>
                <c:formatCode>#,##0.00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</c:v>
                </c:pt>
                <c:pt idx="11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F7-9643-A5D4-B1B3CCFF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Месяц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50010002"/>
        <c:crosses val="autoZero"/>
        <c:auto val="1"/>
        <c:lblAlgn val="ctr"/>
        <c:lblOffset val="100"/>
        <c:noMultiLvlLbl val="1"/>
      </c:catAx>
      <c:valAx>
        <c:axId val="50010002"/>
        <c:scaling>
          <c:orientation val="minMax"/>
        </c:scaling>
        <c:delete val="1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Коэффициент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Структура выручки по SKU (источник: 03_ABC)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Выручка по SKU</c:v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'03_ABC_анализ'!$B$5:$B$19</c:f>
              <c:strCache>
                <c:ptCount val="15"/>
                <c:pt idx="0">
                  <c:v>Икра форелевая 100К партия (фермы)</c:v>
                </c:pt>
                <c:pt idx="1">
                  <c:v>Малёк форели 3-5г, оптом</c:v>
                </c:pt>
                <c:pt idx="2">
                  <c:v>Товарная форель 1-1.5 кг (сети)</c:v>
                </c:pt>
                <c:pt idx="3">
                  <c:v>Икра форелевая 50К партия (средние фермы)</c:v>
                </c:pt>
                <c:pt idx="4">
                  <c:v>Малёк форели 5-10г, оптом</c:v>
                </c:pt>
                <c:pt idx="5">
                  <c:v>Товарная форель 0.7-1 кг (HoReCa)</c:v>
                </c:pt>
                <c:pt idx="6">
                  <c:v>Икра форелевая 25К партия (мелкие)</c:v>
                </c:pt>
                <c:pt idx="7">
                  <c:v>Малёк форели 1-3г, оптом</c:v>
                </c:pt>
                <c:pt idx="8">
                  <c:v>Товарная форель &gt;1.5 кг (премиум)</c:v>
                </c:pt>
                <c:pt idx="9">
                  <c:v>Икра форелевая, дегустационная партия</c:v>
                </c:pt>
                <c:pt idx="10">
                  <c:v>Малёк форели на доращивание (контракт)</c:v>
                </c:pt>
                <c:pt idx="11">
                  <c:v>Икра премиум (IPN-устойчивая)</c:v>
                </c:pt>
                <c:pt idx="12">
                  <c:v>Товарная форель копчёная (b2b)</c:v>
                </c:pt>
                <c:pt idx="13">
                  <c:v>Малёк, экспериментальная порода</c:v>
                </c:pt>
                <c:pt idx="14">
                  <c:v>Икра, малая партия для НИОКР</c:v>
                </c:pt>
              </c:strCache>
            </c:strRef>
          </c:cat>
          <c:val>
            <c:numRef>
              <c:f>'03_ABC_анализ'!$D$5:$D$19</c:f>
              <c:numCache>
                <c:formatCode>#,##0\ " ₽"</c:formatCode>
                <c:ptCount val="15"/>
                <c:pt idx="0">
                  <c:v>18500000</c:v>
                </c:pt>
                <c:pt idx="1">
                  <c:v>14200000</c:v>
                </c:pt>
                <c:pt idx="2">
                  <c:v>11800000</c:v>
                </c:pt>
                <c:pt idx="3">
                  <c:v>9300000</c:v>
                </c:pt>
                <c:pt idx="4">
                  <c:v>7400000</c:v>
                </c:pt>
                <c:pt idx="5">
                  <c:v>5600000</c:v>
                </c:pt>
                <c:pt idx="6">
                  <c:v>3900000</c:v>
                </c:pt>
                <c:pt idx="7">
                  <c:v>3200000</c:v>
                </c:pt>
                <c:pt idx="8">
                  <c:v>2700000</c:v>
                </c:pt>
                <c:pt idx="9">
                  <c:v>1400000</c:v>
                </c:pt>
                <c:pt idx="10">
                  <c:v>1100000</c:v>
                </c:pt>
                <c:pt idx="11">
                  <c:v>850000</c:v>
                </c:pt>
                <c:pt idx="12">
                  <c:v>620000</c:v>
                </c:pt>
                <c:pt idx="13">
                  <c:v>430000</c:v>
                </c:pt>
                <c:pt idx="14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1-2F43-881A-A0F0387A1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Цены конкурентов на икру — последняя неделя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Икра, ₽/1000 (последняя неделя)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'01_Цены_конкурентов'!$A$6:$A$11</c:f>
              <c:strCache>
                <c:ptCount val="6"/>
                <c:pt idx="0">
                  <c:v>Конкурент</c:v>
                </c:pt>
                <c:pt idx="1">
                  <c:v>MirAqua</c:v>
                </c:pt>
                <c:pt idx="2">
                  <c:v>Инарктика</c:v>
                </c:pt>
                <c:pt idx="3">
                  <c:v>Адлерская форель</c:v>
                </c:pt>
                <c:pt idx="4">
                  <c:v>Кала-Ранта (импорт)</c:v>
                </c:pt>
                <c:pt idx="5">
                  <c:v>AquaGen-РФ</c:v>
                </c:pt>
              </c:strCache>
            </c:strRef>
          </c:cat>
          <c:val>
            <c:numRef>
              <c:f>'01_Цены_конкурентов'!$I$6:$I$11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4203</c:v>
                </c:pt>
                <c:pt idx="2">
                  <c:v>4674</c:v>
                </c:pt>
                <c:pt idx="3">
                  <c:v>4378</c:v>
                </c:pt>
                <c:pt idx="4">
                  <c:v>5376</c:v>
                </c:pt>
                <c:pt idx="5">
                  <c:v>4895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B-644F-A1C1-B66E7F9F6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50030002"/>
        <c:crosses val="autoZero"/>
        <c:auto val="1"/>
        <c:lblAlgn val="ctr"/>
        <c:lblOffset val="100"/>
        <c:noMultiLvlLbl val="1"/>
      </c:catAx>
      <c:valAx>
        <c:axId val="50030002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257175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3</xdr:col>
      <xdr:colOff>828675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7</xdr:col>
      <xdr:colOff>828675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3"/>
  <sheetViews>
    <sheetView zoomScale="142" zoomScaleNormal="85" workbookViewId="0"/>
  </sheetViews>
  <sheetFormatPr baseColWidth="10" defaultColWidth="8.83203125" defaultRowHeight="15" x14ac:dyDescent="0.2"/>
  <cols>
    <col min="1" max="1" width="110.6640625" customWidth="1"/>
  </cols>
  <sheetData>
    <row r="1" spans="1:1" ht="28" customHeight="1" x14ac:dyDescent="0.25">
      <c r="A1" s="1" t="s">
        <v>0</v>
      </c>
    </row>
    <row r="2" spans="1:1" ht="8" customHeight="1" x14ac:dyDescent="0.2">
      <c r="A2" s="2"/>
    </row>
    <row r="3" spans="1:1" ht="22" customHeight="1" x14ac:dyDescent="0.2">
      <c r="A3" s="3" t="s">
        <v>1</v>
      </c>
    </row>
    <row r="4" spans="1:1" ht="18" customHeight="1" x14ac:dyDescent="0.2">
      <c r="A4" s="2" t="s">
        <v>2</v>
      </c>
    </row>
    <row r="5" spans="1:1" ht="8" customHeight="1" x14ac:dyDescent="0.2">
      <c r="A5" s="2"/>
    </row>
    <row r="6" spans="1:1" ht="22" customHeight="1" x14ac:dyDescent="0.2">
      <c r="A6" s="3" t="s">
        <v>3</v>
      </c>
    </row>
    <row r="7" spans="1:1" ht="18" customHeight="1" x14ac:dyDescent="0.2">
      <c r="A7" s="2" t="s">
        <v>4</v>
      </c>
    </row>
    <row r="8" spans="1:1" ht="18" customHeight="1" x14ac:dyDescent="0.2">
      <c r="A8" s="2" t="s">
        <v>5</v>
      </c>
    </row>
    <row r="9" spans="1:1" ht="18" customHeight="1" x14ac:dyDescent="0.2">
      <c r="A9" s="2" t="s">
        <v>6</v>
      </c>
    </row>
    <row r="10" spans="1:1" ht="18" customHeight="1" x14ac:dyDescent="0.2">
      <c r="A10" s="2" t="s">
        <v>7</v>
      </c>
    </row>
    <row r="11" spans="1:1" ht="18" customHeight="1" x14ac:dyDescent="0.2">
      <c r="A11" s="2" t="s">
        <v>8</v>
      </c>
    </row>
    <row r="12" spans="1:1" ht="18" customHeight="1" x14ac:dyDescent="0.2">
      <c r="A12" s="2" t="s">
        <v>9</v>
      </c>
    </row>
    <row r="13" spans="1:1" ht="18" customHeight="1" x14ac:dyDescent="0.2">
      <c r="A13" s="2" t="s">
        <v>10</v>
      </c>
    </row>
    <row r="14" spans="1:1" ht="18" customHeight="1" x14ac:dyDescent="0.2">
      <c r="A14" s="2" t="s">
        <v>11</v>
      </c>
    </row>
    <row r="15" spans="1:1" ht="18" customHeight="1" x14ac:dyDescent="0.2">
      <c r="A15" s="2" t="s">
        <v>12</v>
      </c>
    </row>
    <row r="16" spans="1:1" ht="18" customHeight="1" x14ac:dyDescent="0.2">
      <c r="A16" s="2" t="s">
        <v>13</v>
      </c>
    </row>
    <row r="17" spans="1:1" ht="18" customHeight="1" x14ac:dyDescent="0.2">
      <c r="A17" s="2" t="s">
        <v>14</v>
      </c>
    </row>
    <row r="18" spans="1:1" ht="8" customHeight="1" x14ac:dyDescent="0.2">
      <c r="A18" s="2"/>
    </row>
    <row r="19" spans="1:1" ht="22" customHeight="1" x14ac:dyDescent="0.2">
      <c r="A19" s="3" t="s">
        <v>15</v>
      </c>
    </row>
    <row r="20" spans="1:1" ht="18" customHeight="1" x14ac:dyDescent="0.2">
      <c r="A20" s="2" t="s">
        <v>16</v>
      </c>
    </row>
    <row r="21" spans="1:1" ht="18" customHeight="1" x14ac:dyDescent="0.2">
      <c r="A21" s="2" t="s">
        <v>17</v>
      </c>
    </row>
    <row r="22" spans="1:1" ht="18" customHeight="1" x14ac:dyDescent="0.2">
      <c r="A22" s="2" t="s">
        <v>18</v>
      </c>
    </row>
    <row r="23" spans="1:1" ht="8" customHeight="1" x14ac:dyDescent="0.2">
      <c r="A23" s="2"/>
    </row>
    <row r="24" spans="1:1" ht="22" customHeight="1" x14ac:dyDescent="0.2">
      <c r="A24" s="3" t="s">
        <v>19</v>
      </c>
    </row>
    <row r="25" spans="1:1" ht="18" customHeight="1" x14ac:dyDescent="0.2">
      <c r="A25" s="2" t="s">
        <v>20</v>
      </c>
    </row>
    <row r="26" spans="1:1" ht="18" customHeight="1" x14ac:dyDescent="0.2">
      <c r="A26" s="2" t="s">
        <v>21</v>
      </c>
    </row>
    <row r="27" spans="1:1" ht="18" customHeight="1" x14ac:dyDescent="0.2">
      <c r="A27" s="2" t="s">
        <v>22</v>
      </c>
    </row>
    <row r="28" spans="1:1" ht="8" customHeight="1" x14ac:dyDescent="0.2">
      <c r="A28" s="2"/>
    </row>
    <row r="29" spans="1:1" ht="22" customHeight="1" x14ac:dyDescent="0.2">
      <c r="A29" s="3" t="s">
        <v>23</v>
      </c>
    </row>
    <row r="30" spans="1:1" ht="18" customHeight="1" x14ac:dyDescent="0.2">
      <c r="A30" s="2" t="s">
        <v>24</v>
      </c>
    </row>
    <row r="31" spans="1:1" ht="18" customHeight="1" x14ac:dyDescent="0.2">
      <c r="A31" s="2" t="s">
        <v>25</v>
      </c>
    </row>
    <row r="32" spans="1:1" ht="8" customHeight="1" x14ac:dyDescent="0.2">
      <c r="A32" s="2"/>
    </row>
    <row r="33" spans="1:1" ht="18" customHeight="1" x14ac:dyDescent="0.2">
      <c r="A33" s="2" t="s">
        <v>26</v>
      </c>
    </row>
  </sheetData>
  <pageMargins left="0.4" right="0.4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9"/>
  <sheetViews>
    <sheetView zoomScale="116" zoomScaleNormal="85" workbookViewId="0">
      <selection activeCell="N17" sqref="N17"/>
    </sheetView>
  </sheetViews>
  <sheetFormatPr baseColWidth="10" defaultColWidth="8.83203125" defaultRowHeight="15" x14ac:dyDescent="0.2"/>
  <cols>
    <col min="1" max="1" width="28.6640625" customWidth="1"/>
    <col min="2" max="2" width="16.6640625" customWidth="1"/>
    <col min="3" max="14" width="13.6640625" customWidth="1"/>
  </cols>
  <sheetData>
    <row r="1" spans="1:14" ht="21" x14ac:dyDescent="0.25">
      <c r="A1" s="1" t="s">
        <v>27</v>
      </c>
    </row>
    <row r="2" spans="1:14" x14ac:dyDescent="0.2">
      <c r="A2" s="17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5" spans="1:14" ht="22" customHeight="1" x14ac:dyDescent="0.2">
      <c r="A5" s="19" t="s">
        <v>29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4" ht="30" customHeight="1" x14ac:dyDescent="0.2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  <c r="L6" s="4" t="s">
        <v>41</v>
      </c>
    </row>
    <row r="7" spans="1:14" x14ac:dyDescent="0.2">
      <c r="A7" s="5" t="s">
        <v>42</v>
      </c>
      <c r="B7" s="6">
        <v>4247</v>
      </c>
      <c r="C7" s="6">
        <v>4061</v>
      </c>
      <c r="D7" s="6">
        <v>4166</v>
      </c>
      <c r="E7" s="6">
        <v>4169</v>
      </c>
      <c r="F7" s="6">
        <v>4365</v>
      </c>
      <c r="G7" s="6">
        <v>4366</v>
      </c>
      <c r="H7" s="6">
        <v>4462</v>
      </c>
      <c r="I7" s="6">
        <v>4203</v>
      </c>
      <c r="J7" s="7">
        <f t="shared" ref="J7:J12" si="0">AVERAGE(B7:I7)</f>
        <v>4254.875</v>
      </c>
      <c r="K7" s="8">
        <f t="shared" ref="K7:K12" si="1">(I7/H7)-1</f>
        <v>-5.8045719408337026E-2</v>
      </c>
      <c r="L7" s="8">
        <f>I7/I7</f>
        <v>1</v>
      </c>
    </row>
    <row r="8" spans="1:14" x14ac:dyDescent="0.2">
      <c r="A8" s="9" t="s">
        <v>43</v>
      </c>
      <c r="B8" s="6">
        <v>4472</v>
      </c>
      <c r="C8" s="6">
        <v>4352</v>
      </c>
      <c r="D8" s="6">
        <v>4443</v>
      </c>
      <c r="E8" s="6">
        <v>4569</v>
      </c>
      <c r="F8" s="6">
        <v>4416</v>
      </c>
      <c r="G8" s="6">
        <v>4501</v>
      </c>
      <c r="H8" s="6">
        <v>4691</v>
      </c>
      <c r="I8" s="6">
        <v>4674</v>
      </c>
      <c r="J8" s="7">
        <f t="shared" si="0"/>
        <v>4514.75</v>
      </c>
      <c r="K8" s="8">
        <f t="shared" si="1"/>
        <v>-3.6239607759539494E-3</v>
      </c>
      <c r="L8" s="8">
        <f>I8/I7</f>
        <v>1.1120628122769451</v>
      </c>
    </row>
    <row r="9" spans="1:14" x14ac:dyDescent="0.2">
      <c r="A9" s="9" t="s">
        <v>44</v>
      </c>
      <c r="B9" s="6">
        <v>4253</v>
      </c>
      <c r="C9" s="6">
        <v>4403</v>
      </c>
      <c r="D9" s="6">
        <v>4502</v>
      </c>
      <c r="E9" s="6">
        <v>4241</v>
      </c>
      <c r="F9" s="6">
        <v>4546</v>
      </c>
      <c r="G9" s="6">
        <v>4529</v>
      </c>
      <c r="H9" s="6">
        <v>4423</v>
      </c>
      <c r="I9" s="6">
        <v>4378</v>
      </c>
      <c r="J9" s="7">
        <f t="shared" si="0"/>
        <v>4409.375</v>
      </c>
      <c r="K9" s="8">
        <f t="shared" si="1"/>
        <v>-1.0174089984173684E-2</v>
      </c>
      <c r="L9" s="8">
        <f>I9/I7</f>
        <v>1.0416369260052343</v>
      </c>
    </row>
    <row r="10" spans="1:14" x14ac:dyDescent="0.2">
      <c r="A10" s="9" t="s">
        <v>45</v>
      </c>
      <c r="B10" s="6">
        <v>5287</v>
      </c>
      <c r="C10" s="6">
        <v>5058</v>
      </c>
      <c r="D10" s="6">
        <v>4983</v>
      </c>
      <c r="E10" s="6">
        <v>5009</v>
      </c>
      <c r="F10" s="6">
        <v>5347</v>
      </c>
      <c r="G10" s="6">
        <v>5271</v>
      </c>
      <c r="H10" s="6">
        <v>5382</v>
      </c>
      <c r="I10" s="6">
        <v>5376</v>
      </c>
      <c r="J10" s="7">
        <f t="shared" si="0"/>
        <v>5214.125</v>
      </c>
      <c r="K10" s="8">
        <f t="shared" si="1"/>
        <v>-1.1148272017836858E-3</v>
      </c>
      <c r="L10" s="8">
        <f>I10/I7</f>
        <v>1.2790863668807995</v>
      </c>
    </row>
    <row r="11" spans="1:14" x14ac:dyDescent="0.2">
      <c r="A11" s="9" t="s">
        <v>46</v>
      </c>
      <c r="B11" s="6">
        <v>4714</v>
      </c>
      <c r="C11" s="6">
        <v>4902</v>
      </c>
      <c r="D11" s="6">
        <v>4701</v>
      </c>
      <c r="E11" s="6">
        <v>4790</v>
      </c>
      <c r="F11" s="6">
        <v>4920</v>
      </c>
      <c r="G11" s="6">
        <v>4863</v>
      </c>
      <c r="H11" s="6">
        <v>4981</v>
      </c>
      <c r="I11" s="6">
        <v>4895</v>
      </c>
      <c r="J11" s="7">
        <f t="shared" si="0"/>
        <v>4845.75</v>
      </c>
      <c r="K11" s="8">
        <f t="shared" si="1"/>
        <v>-1.7265609315398556E-2</v>
      </c>
      <c r="L11" s="8">
        <f>I11/I7</f>
        <v>1.1646443016892696</v>
      </c>
    </row>
    <row r="12" spans="1:14" x14ac:dyDescent="0.2">
      <c r="A12" s="9" t="s">
        <v>47</v>
      </c>
      <c r="B12" s="6">
        <v>4167</v>
      </c>
      <c r="C12" s="6">
        <v>3971</v>
      </c>
      <c r="D12" s="6">
        <v>4051</v>
      </c>
      <c r="E12" s="6">
        <v>4091</v>
      </c>
      <c r="F12" s="6">
        <v>4041</v>
      </c>
      <c r="G12" s="6">
        <v>4113</v>
      </c>
      <c r="H12" s="6">
        <v>4088</v>
      </c>
      <c r="I12" s="6">
        <v>4168</v>
      </c>
      <c r="J12" s="7">
        <f t="shared" si="0"/>
        <v>4086.25</v>
      </c>
      <c r="K12" s="8">
        <f t="shared" si="1"/>
        <v>1.9569471624266255E-2</v>
      </c>
      <c r="L12" s="8">
        <f>I12/I7</f>
        <v>0.99167261479895308</v>
      </c>
    </row>
    <row r="15" spans="1:14" ht="22" customHeight="1" x14ac:dyDescent="0.2">
      <c r="A15" s="19" t="s">
        <v>48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</row>
    <row r="16" spans="1:14" ht="30" customHeight="1" x14ac:dyDescent="0.2">
      <c r="A16" s="4" t="s">
        <v>30</v>
      </c>
      <c r="B16" s="4" t="s">
        <v>31</v>
      </c>
      <c r="C16" s="4" t="s">
        <v>32</v>
      </c>
      <c r="D16" s="4" t="s">
        <v>33</v>
      </c>
      <c r="E16" s="4" t="s">
        <v>34</v>
      </c>
      <c r="F16" s="4" t="s">
        <v>35</v>
      </c>
      <c r="G16" s="4" t="s">
        <v>36</v>
      </c>
      <c r="H16" s="4" t="s">
        <v>37</v>
      </c>
      <c r="I16" s="4" t="s">
        <v>38</v>
      </c>
      <c r="J16" s="4" t="s">
        <v>39</v>
      </c>
      <c r="K16" s="4" t="s">
        <v>40</v>
      </c>
      <c r="L16" s="4" t="s">
        <v>41</v>
      </c>
    </row>
    <row r="17" spans="1:13" x14ac:dyDescent="0.2">
      <c r="A17" s="5" t="s">
        <v>42</v>
      </c>
      <c r="B17" s="7">
        <v>32.299999999999997</v>
      </c>
      <c r="C17" s="7">
        <v>31.8</v>
      </c>
      <c r="D17" s="7">
        <v>32</v>
      </c>
      <c r="E17" s="7">
        <v>31.7</v>
      </c>
      <c r="F17" s="7">
        <v>32</v>
      </c>
      <c r="G17" s="7">
        <v>33.9</v>
      </c>
      <c r="H17" s="7">
        <v>33.4</v>
      </c>
      <c r="I17" s="7">
        <v>33.4</v>
      </c>
      <c r="J17" s="7">
        <f>AVERAGE(B17:I17)</f>
        <v>32.5625</v>
      </c>
      <c r="K17" s="8">
        <f t="shared" ref="K17:K22" si="2">(I17/H17)-1</f>
        <v>0</v>
      </c>
      <c r="L17" s="8">
        <f>I17/I17</f>
        <v>1</v>
      </c>
    </row>
    <row r="18" spans="1:13" x14ac:dyDescent="0.2">
      <c r="A18" s="9" t="s">
        <v>43</v>
      </c>
      <c r="B18" s="7">
        <v>35.1</v>
      </c>
      <c r="C18" s="7">
        <v>36.799999999999997</v>
      </c>
      <c r="D18" s="7">
        <v>35.4</v>
      </c>
      <c r="E18" s="7">
        <v>36.200000000000003</v>
      </c>
      <c r="F18" s="7">
        <v>38.200000000000003</v>
      </c>
      <c r="G18" s="7">
        <v>37.299999999999997</v>
      </c>
      <c r="H18" s="7">
        <v>37.200000000000003</v>
      </c>
      <c r="I18" s="7">
        <v>37.799999999999997</v>
      </c>
      <c r="J18" s="7">
        <f t="shared" ref="J17:J22" si="3">AVERAGE(B18:I18)</f>
        <v>36.75</v>
      </c>
      <c r="K18" s="8">
        <f t="shared" si="2"/>
        <v>1.612903225806428E-2</v>
      </c>
      <c r="L18" s="8">
        <f>I18/I17</f>
        <v>1.1317365269461077</v>
      </c>
    </row>
    <row r="19" spans="1:13" x14ac:dyDescent="0.2">
      <c r="A19" s="9" t="s">
        <v>44</v>
      </c>
      <c r="B19" s="7">
        <v>33.9</v>
      </c>
      <c r="C19" s="7">
        <v>33.9</v>
      </c>
      <c r="D19" s="7">
        <v>32.6</v>
      </c>
      <c r="E19" s="7">
        <v>32.200000000000003</v>
      </c>
      <c r="F19" s="7">
        <v>33.200000000000003</v>
      </c>
      <c r="G19" s="7">
        <v>33.200000000000003</v>
      </c>
      <c r="H19" s="7">
        <v>33.200000000000003</v>
      </c>
      <c r="I19" s="7">
        <v>35.4</v>
      </c>
      <c r="J19" s="7">
        <f t="shared" si="3"/>
        <v>33.449999999999996</v>
      </c>
      <c r="K19" s="8">
        <f t="shared" si="2"/>
        <v>6.6265060240963791E-2</v>
      </c>
      <c r="L19" s="8">
        <f>I19/I17</f>
        <v>1.0598802395209581</v>
      </c>
    </row>
    <row r="20" spans="1:13" x14ac:dyDescent="0.2">
      <c r="A20" s="9" t="s">
        <v>45</v>
      </c>
      <c r="B20" s="7">
        <v>42.2</v>
      </c>
      <c r="C20" s="7">
        <v>40.6</v>
      </c>
      <c r="D20" s="7">
        <v>41.9</v>
      </c>
      <c r="E20" s="7">
        <v>41.3</v>
      </c>
      <c r="F20" s="7">
        <v>43.2</v>
      </c>
      <c r="G20" s="7">
        <v>41.9</v>
      </c>
      <c r="H20" s="7">
        <v>41.4</v>
      </c>
      <c r="I20" s="7">
        <v>41.6</v>
      </c>
      <c r="J20" s="7">
        <f t="shared" si="3"/>
        <v>41.762500000000003</v>
      </c>
      <c r="K20" s="8">
        <f t="shared" si="2"/>
        <v>4.8309178743961567E-3</v>
      </c>
      <c r="L20" s="8">
        <f>I20/I17</f>
        <v>1.2455089820359282</v>
      </c>
    </row>
    <row r="21" spans="1:13" x14ac:dyDescent="0.2">
      <c r="A21" s="9" t="s">
        <v>46</v>
      </c>
      <c r="B21" s="7">
        <v>35.200000000000003</v>
      </c>
      <c r="C21" s="7">
        <v>34.5</v>
      </c>
      <c r="D21" s="7">
        <v>35.6</v>
      </c>
      <c r="E21" s="7">
        <v>36.700000000000003</v>
      </c>
      <c r="F21" s="7">
        <v>35.4</v>
      </c>
      <c r="G21" s="7">
        <v>35.1</v>
      </c>
      <c r="H21" s="7">
        <v>37.5</v>
      </c>
      <c r="I21" s="7">
        <v>36.299999999999997</v>
      </c>
      <c r="J21" s="7">
        <f t="shared" si="3"/>
        <v>35.787500000000001</v>
      </c>
      <c r="K21" s="8">
        <f t="shared" si="2"/>
        <v>-3.2000000000000028E-2</v>
      </c>
      <c r="L21" s="8">
        <f>I21/I17</f>
        <v>1.0868263473053892</v>
      </c>
    </row>
    <row r="22" spans="1:13" x14ac:dyDescent="0.2">
      <c r="A22" s="9" t="s">
        <v>47</v>
      </c>
      <c r="B22" s="7">
        <v>29</v>
      </c>
      <c r="C22" s="7">
        <v>29.1</v>
      </c>
      <c r="D22" s="7">
        <v>29.4</v>
      </c>
      <c r="E22" s="7">
        <v>30.8</v>
      </c>
      <c r="F22" s="7">
        <v>31.3</v>
      </c>
      <c r="G22" s="7">
        <v>30.6</v>
      </c>
      <c r="H22" s="7">
        <v>29.8</v>
      </c>
      <c r="I22" s="7">
        <v>30.8</v>
      </c>
      <c r="J22" s="7">
        <f t="shared" si="3"/>
        <v>30.1</v>
      </c>
      <c r="K22" s="8">
        <f t="shared" si="2"/>
        <v>3.3557046979865834E-2</v>
      </c>
      <c r="L22" s="8">
        <f>I22/I17</f>
        <v>0.92215568862275454</v>
      </c>
    </row>
    <row r="25" spans="1:13" ht="22" customHeight="1" x14ac:dyDescent="0.2">
      <c r="A25" s="19" t="s">
        <v>49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6" spans="1:13" ht="30" customHeight="1" x14ac:dyDescent="0.2">
      <c r="A26" s="4" t="s">
        <v>30</v>
      </c>
      <c r="B26" s="4" t="s">
        <v>31</v>
      </c>
      <c r="C26" s="4" t="s">
        <v>32</v>
      </c>
      <c r="D26" s="4" t="s">
        <v>33</v>
      </c>
      <c r="E26" s="4" t="s">
        <v>34</v>
      </c>
      <c r="F26" s="4" t="s">
        <v>35</v>
      </c>
      <c r="G26" s="4" t="s">
        <v>36</v>
      </c>
      <c r="H26" s="4" t="s">
        <v>37</v>
      </c>
      <c r="I26" s="4" t="s">
        <v>38</v>
      </c>
      <c r="J26" s="4" t="s">
        <v>39</v>
      </c>
      <c r="K26" s="4" t="s">
        <v>40</v>
      </c>
      <c r="L26" s="4" t="s">
        <v>41</v>
      </c>
    </row>
    <row r="27" spans="1:13" x14ac:dyDescent="0.2">
      <c r="A27" s="5" t="s">
        <v>42</v>
      </c>
      <c r="B27" s="6">
        <v>749</v>
      </c>
      <c r="C27" s="6">
        <v>725</v>
      </c>
      <c r="D27" s="6">
        <v>755</v>
      </c>
      <c r="E27" s="6">
        <v>752</v>
      </c>
      <c r="F27" s="6">
        <v>706</v>
      </c>
      <c r="G27" s="6">
        <v>751</v>
      </c>
      <c r="H27" s="6">
        <v>752</v>
      </c>
      <c r="I27" s="6">
        <v>747</v>
      </c>
      <c r="J27" s="7">
        <f t="shared" ref="J27:J32" si="4">AVERAGE(B27:I27)</f>
        <v>742.125</v>
      </c>
      <c r="K27" s="8">
        <f t="shared" ref="K27:K32" si="5">(I27/H27)-1</f>
        <v>-6.6489361702127825E-3</v>
      </c>
      <c r="L27" s="8">
        <f>I27/I27</f>
        <v>1</v>
      </c>
    </row>
    <row r="28" spans="1:13" x14ac:dyDescent="0.2">
      <c r="A28" s="9" t="s">
        <v>43</v>
      </c>
      <c r="B28" s="6">
        <v>746</v>
      </c>
      <c r="C28" s="6">
        <v>772</v>
      </c>
      <c r="D28" s="6">
        <v>744</v>
      </c>
      <c r="E28" s="6">
        <v>767</v>
      </c>
      <c r="F28" s="6">
        <v>772</v>
      </c>
      <c r="G28" s="6">
        <v>807</v>
      </c>
      <c r="H28" s="6">
        <v>806</v>
      </c>
      <c r="I28" s="6">
        <v>772</v>
      </c>
      <c r="J28" s="7">
        <f t="shared" si="4"/>
        <v>773.25</v>
      </c>
      <c r="K28" s="8">
        <f t="shared" si="5"/>
        <v>-4.2183622828784073E-2</v>
      </c>
      <c r="L28" s="8">
        <f>I28/I27</f>
        <v>1.0334672021419009</v>
      </c>
    </row>
    <row r="29" spans="1:13" x14ac:dyDescent="0.2">
      <c r="A29" s="9" t="s">
        <v>44</v>
      </c>
      <c r="B29" s="6">
        <v>735</v>
      </c>
      <c r="C29" s="6">
        <v>720</v>
      </c>
      <c r="D29" s="6">
        <v>767</v>
      </c>
      <c r="E29" s="6">
        <v>768</v>
      </c>
      <c r="F29" s="6">
        <v>738</v>
      </c>
      <c r="G29" s="6">
        <v>762</v>
      </c>
      <c r="H29" s="6">
        <v>764</v>
      </c>
      <c r="I29" s="6">
        <v>740</v>
      </c>
      <c r="J29" s="7">
        <f t="shared" si="4"/>
        <v>749.25</v>
      </c>
      <c r="K29" s="8">
        <f t="shared" si="5"/>
        <v>-3.1413612565445059E-2</v>
      </c>
      <c r="L29" s="8">
        <f>I29/I27</f>
        <v>0.99062918340026773</v>
      </c>
    </row>
    <row r="30" spans="1:13" x14ac:dyDescent="0.2">
      <c r="A30" s="9" t="s">
        <v>45</v>
      </c>
      <c r="B30" s="6">
        <v>837</v>
      </c>
      <c r="C30" s="6">
        <v>827</v>
      </c>
      <c r="D30" s="6">
        <v>847</v>
      </c>
      <c r="E30" s="6">
        <v>834</v>
      </c>
      <c r="F30" s="6">
        <v>803</v>
      </c>
      <c r="G30" s="6">
        <v>829</v>
      </c>
      <c r="H30" s="6">
        <v>812</v>
      </c>
      <c r="I30" s="6">
        <v>878</v>
      </c>
      <c r="J30" s="7">
        <f t="shared" si="4"/>
        <v>833.375</v>
      </c>
      <c r="K30" s="8">
        <f t="shared" si="5"/>
        <v>8.1280788177339858E-2</v>
      </c>
      <c r="L30" s="8">
        <f>I30/I27</f>
        <v>1.1753681392235609</v>
      </c>
    </row>
    <row r="31" spans="1:13" x14ac:dyDescent="0.2">
      <c r="A31" s="9" t="s">
        <v>46</v>
      </c>
      <c r="B31" s="6">
        <v>773</v>
      </c>
      <c r="C31" s="6">
        <v>774</v>
      </c>
      <c r="D31" s="6">
        <v>746</v>
      </c>
      <c r="E31" s="6">
        <v>734</v>
      </c>
      <c r="F31" s="6">
        <v>788</v>
      </c>
      <c r="G31" s="6">
        <v>796</v>
      </c>
      <c r="H31" s="6">
        <v>747</v>
      </c>
      <c r="I31" s="6">
        <v>775</v>
      </c>
      <c r="J31" s="7">
        <f t="shared" si="4"/>
        <v>766.625</v>
      </c>
      <c r="K31" s="8">
        <f t="shared" si="5"/>
        <v>3.7483266398929072E-2</v>
      </c>
      <c r="L31" s="8">
        <f>I31/I27</f>
        <v>1.0374832663989291</v>
      </c>
    </row>
    <row r="32" spans="1:13" x14ac:dyDescent="0.2">
      <c r="A32" s="9" t="s">
        <v>47</v>
      </c>
      <c r="B32" s="6">
        <v>681</v>
      </c>
      <c r="C32" s="6">
        <v>723</v>
      </c>
      <c r="D32" s="6">
        <v>727</v>
      </c>
      <c r="E32" s="6">
        <v>694</v>
      </c>
      <c r="F32" s="6">
        <v>718</v>
      </c>
      <c r="G32" s="6">
        <v>726</v>
      </c>
      <c r="H32" s="6">
        <v>713</v>
      </c>
      <c r="I32" s="6">
        <v>751</v>
      </c>
      <c r="J32" s="7">
        <f t="shared" si="4"/>
        <v>716.625</v>
      </c>
      <c r="K32" s="8">
        <f t="shared" si="5"/>
        <v>5.3295932678821822E-2</v>
      </c>
      <c r="L32" s="8">
        <f>I32/I27</f>
        <v>1.0053547523427042</v>
      </c>
    </row>
    <row r="35" spans="1:13" ht="17" x14ac:dyDescent="0.2">
      <c r="A35" s="19" t="s">
        <v>50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1"/>
    </row>
    <row r="36" spans="1:13" ht="30" customHeight="1" x14ac:dyDescent="0.2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30" customHeight="1" x14ac:dyDescent="0.2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30" customHeight="1" x14ac:dyDescent="0.2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30" customHeight="1" x14ac:dyDescent="0.2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</sheetData>
  <mergeCells count="9">
    <mergeCell ref="A39:M39"/>
    <mergeCell ref="A15:M15"/>
    <mergeCell ref="A25:M25"/>
    <mergeCell ref="A38:M38"/>
    <mergeCell ref="A36:M36"/>
    <mergeCell ref="A5:M5"/>
    <mergeCell ref="A37:M37"/>
    <mergeCell ref="A2:N2"/>
    <mergeCell ref="A35:M35"/>
  </mergeCells>
  <conditionalFormatting sqref="L7:L12">
    <cfRule type="cellIs" dxfId="16" priority="1" operator="lessThan">
      <formula>1</formula>
    </cfRule>
    <cfRule type="cellIs" dxfId="15" priority="2" operator="greaterThan">
      <formula>1.05</formula>
    </cfRule>
  </conditionalFormatting>
  <conditionalFormatting sqref="L17:L22">
    <cfRule type="cellIs" dxfId="14" priority="3" operator="lessThan">
      <formula>1</formula>
    </cfRule>
    <cfRule type="cellIs" dxfId="13" priority="4" operator="greaterThan">
      <formula>1.05</formula>
    </cfRule>
  </conditionalFormatting>
  <conditionalFormatting sqref="L27:L32">
    <cfRule type="cellIs" dxfId="12" priority="5" operator="lessThan">
      <formula>1</formula>
    </cfRule>
    <cfRule type="cellIs" dxfId="11" priority="6" operator="greaterThan">
      <formula>1.05</formula>
    </cfRule>
  </conditionalFormatting>
  <pageMargins left="0.4" right="0.4" top="0.4" bottom="0.4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zoomScale="85" zoomScaleNormal="85" workbookViewId="0"/>
  </sheetViews>
  <sheetFormatPr baseColWidth="10" defaultColWidth="8.83203125" defaultRowHeight="15" x14ac:dyDescent="0.2"/>
  <cols>
    <col min="1" max="1" width="28.6640625" customWidth="1"/>
    <col min="2" max="2" width="16.6640625" customWidth="1"/>
    <col min="3" max="13" width="14.6640625" customWidth="1"/>
  </cols>
  <sheetData>
    <row r="1" spans="1:12" ht="21" x14ac:dyDescent="0.25">
      <c r="A1" s="1" t="s">
        <v>55</v>
      </c>
    </row>
    <row r="2" spans="1:12" x14ac:dyDescent="0.2">
      <c r="A2" s="17" t="s">
        <v>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2">
      <c r="A4" s="3" t="s">
        <v>57</v>
      </c>
    </row>
    <row r="5" spans="1:12" ht="16" x14ac:dyDescent="0.2">
      <c r="A5" s="4" t="s">
        <v>58</v>
      </c>
      <c r="B5" s="4" t="s">
        <v>59</v>
      </c>
    </row>
    <row r="6" spans="1:12" x14ac:dyDescent="0.2">
      <c r="A6" s="9" t="s">
        <v>60</v>
      </c>
      <c r="B6" s="8">
        <v>0.25</v>
      </c>
    </row>
    <row r="7" spans="1:12" x14ac:dyDescent="0.2">
      <c r="A7" s="9" t="s">
        <v>61</v>
      </c>
      <c r="B7" s="8">
        <v>0.2</v>
      </c>
    </row>
    <row r="8" spans="1:12" x14ac:dyDescent="0.2">
      <c r="A8" s="9" t="s">
        <v>62</v>
      </c>
      <c r="B8" s="8">
        <v>0.05</v>
      </c>
    </row>
    <row r="9" spans="1:12" x14ac:dyDescent="0.2">
      <c r="A9" s="9" t="s">
        <v>63</v>
      </c>
      <c r="B9" s="8">
        <v>0.05</v>
      </c>
    </row>
    <row r="10" spans="1:12" x14ac:dyDescent="0.2">
      <c r="A10" s="9" t="s">
        <v>64</v>
      </c>
      <c r="B10" s="8">
        <v>0.1</v>
      </c>
    </row>
    <row r="11" spans="1:12" x14ac:dyDescent="0.2">
      <c r="A11" s="9" t="s">
        <v>65</v>
      </c>
      <c r="B11" s="8">
        <v>0.1</v>
      </c>
    </row>
    <row r="12" spans="1:12" x14ac:dyDescent="0.2">
      <c r="A12" s="9" t="s">
        <v>66</v>
      </c>
      <c r="B12" s="8">
        <v>0.05</v>
      </c>
    </row>
    <row r="13" spans="1:12" x14ac:dyDescent="0.2">
      <c r="A13" s="9" t="s">
        <v>67</v>
      </c>
      <c r="B13" s="8">
        <v>0.05</v>
      </c>
    </row>
    <row r="14" spans="1:12" x14ac:dyDescent="0.2">
      <c r="A14" s="9" t="s">
        <v>68</v>
      </c>
      <c r="B14" s="8">
        <v>0.1</v>
      </c>
    </row>
    <row r="15" spans="1:12" x14ac:dyDescent="0.2">
      <c r="A15" s="9" t="s">
        <v>69</v>
      </c>
      <c r="B15" s="8">
        <v>0.05</v>
      </c>
    </row>
    <row r="16" spans="1:12" x14ac:dyDescent="0.2">
      <c r="A16" s="5" t="s">
        <v>70</v>
      </c>
      <c r="B16" s="10">
        <f>SUM(B6:B15)</f>
        <v>1</v>
      </c>
    </row>
    <row r="19" spans="1:14" ht="36" customHeight="1" x14ac:dyDescent="0.2">
      <c r="A19" s="4" t="s">
        <v>71</v>
      </c>
      <c r="B19" s="4" t="s">
        <v>72</v>
      </c>
      <c r="C19" s="4" t="s">
        <v>73</v>
      </c>
      <c r="D19" s="4" t="s">
        <v>74</v>
      </c>
      <c r="E19" s="4" t="s">
        <v>75</v>
      </c>
      <c r="F19" s="4" t="s">
        <v>76</v>
      </c>
      <c r="G19" s="4" t="s">
        <v>77</v>
      </c>
      <c r="H19" s="4" t="s">
        <v>78</v>
      </c>
      <c r="I19" s="4" t="s">
        <v>79</v>
      </c>
      <c r="J19" s="4" t="s">
        <v>80</v>
      </c>
      <c r="K19" s="4" t="s">
        <v>81</v>
      </c>
      <c r="L19" s="4" t="s">
        <v>82</v>
      </c>
      <c r="M19" s="4" t="s">
        <v>83</v>
      </c>
      <c r="N19" s="4" t="s">
        <v>84</v>
      </c>
    </row>
    <row r="20" spans="1:14" x14ac:dyDescent="0.2">
      <c r="A20" s="9" t="s">
        <v>85</v>
      </c>
      <c r="B20" s="11" t="s">
        <v>86</v>
      </c>
      <c r="C20" s="12">
        <v>4200</v>
      </c>
      <c r="D20" s="13">
        <v>0.92</v>
      </c>
      <c r="E20" s="6">
        <v>100</v>
      </c>
      <c r="F20" s="6">
        <v>7</v>
      </c>
      <c r="G20" s="11">
        <v>5</v>
      </c>
      <c r="H20" s="11">
        <v>4</v>
      </c>
      <c r="I20" s="11">
        <v>5</v>
      </c>
      <c r="J20" s="11">
        <v>5</v>
      </c>
      <c r="K20" s="11">
        <v>5</v>
      </c>
      <c r="L20" s="11">
        <v>5</v>
      </c>
      <c r="M20" s="7">
        <f t="shared" ref="M20:M26" si="0">(  (MIN($C$20:$C$26)/C20) * $B$6 +($D20) * $B$7 +(MIN($E$20:$E$26)/E20) * $B$8 +(MIN($F$20:$F$26)/F20) * $B$9 +(G20/5) * $B$10 +(H20/5) * $B$11 +(I20/5) * $B$12 +(J20/5) * $B$13 +(K20/5) * $B$14 +(L20/5) * $B$15)</f>
        <v>0.91161904761904788</v>
      </c>
      <c r="N20" s="6">
        <f t="shared" ref="N20:N26" si="1">RANK(M20,$M$20:$M$26)</f>
        <v>1</v>
      </c>
    </row>
    <row r="21" spans="1:14" x14ac:dyDescent="0.2">
      <c r="A21" s="9" t="s">
        <v>87</v>
      </c>
      <c r="B21" s="11" t="s">
        <v>88</v>
      </c>
      <c r="C21" s="12">
        <v>4900</v>
      </c>
      <c r="D21" s="13">
        <v>0.95</v>
      </c>
      <c r="E21" s="6">
        <v>250</v>
      </c>
      <c r="F21" s="6">
        <v>35</v>
      </c>
      <c r="G21" s="11">
        <v>5</v>
      </c>
      <c r="H21" s="11">
        <v>5</v>
      </c>
      <c r="I21" s="11">
        <v>4</v>
      </c>
      <c r="J21" s="11">
        <v>3</v>
      </c>
      <c r="K21" s="11">
        <v>4</v>
      </c>
      <c r="L21" s="11">
        <v>4</v>
      </c>
      <c r="M21" s="7">
        <f t="shared" si="0"/>
        <v>0.80489795918367357</v>
      </c>
      <c r="N21" s="6">
        <f t="shared" si="1"/>
        <v>3</v>
      </c>
    </row>
    <row r="22" spans="1:14" x14ac:dyDescent="0.2">
      <c r="A22" s="9" t="s">
        <v>89</v>
      </c>
      <c r="B22" s="11" t="s">
        <v>88</v>
      </c>
      <c r="C22" s="12">
        <v>5100</v>
      </c>
      <c r="D22" s="13">
        <v>0.94</v>
      </c>
      <c r="E22" s="6">
        <v>250</v>
      </c>
      <c r="F22" s="6">
        <v>30</v>
      </c>
      <c r="G22" s="11">
        <v>5</v>
      </c>
      <c r="H22" s="11">
        <v>5</v>
      </c>
      <c r="I22" s="11">
        <v>3</v>
      </c>
      <c r="J22" s="11">
        <v>3</v>
      </c>
      <c r="K22" s="11">
        <v>4</v>
      </c>
      <c r="L22" s="11">
        <v>4</v>
      </c>
      <c r="M22" s="7">
        <f t="shared" si="0"/>
        <v>0.78564705882352959</v>
      </c>
      <c r="N22" s="6">
        <f t="shared" si="1"/>
        <v>4</v>
      </c>
    </row>
    <row r="23" spans="1:14" x14ac:dyDescent="0.2">
      <c r="A23" s="9" t="s">
        <v>90</v>
      </c>
      <c r="B23" s="11" t="s">
        <v>91</v>
      </c>
      <c r="C23" s="12">
        <v>4800</v>
      </c>
      <c r="D23" s="13">
        <v>0.93</v>
      </c>
      <c r="E23" s="6">
        <v>200</v>
      </c>
      <c r="F23" s="6">
        <v>28</v>
      </c>
      <c r="G23" s="11">
        <v>5</v>
      </c>
      <c r="H23" s="11">
        <v>4</v>
      </c>
      <c r="I23" s="11">
        <v>3</v>
      </c>
      <c r="J23" s="11">
        <v>3</v>
      </c>
      <c r="K23" s="11">
        <v>4</v>
      </c>
      <c r="L23" s="11">
        <v>4</v>
      </c>
      <c r="M23" s="7">
        <f t="shared" si="0"/>
        <v>0.77918452380952408</v>
      </c>
      <c r="N23" s="6">
        <f t="shared" si="1"/>
        <v>5</v>
      </c>
    </row>
    <row r="24" spans="1:14" x14ac:dyDescent="0.2">
      <c r="A24" s="9" t="s">
        <v>92</v>
      </c>
      <c r="B24" s="11" t="s">
        <v>93</v>
      </c>
      <c r="C24" s="12">
        <v>5300</v>
      </c>
      <c r="D24" s="13">
        <v>0.94</v>
      </c>
      <c r="E24" s="6">
        <v>300</v>
      </c>
      <c r="F24" s="6">
        <v>45</v>
      </c>
      <c r="G24" s="11">
        <v>5</v>
      </c>
      <c r="H24" s="11">
        <v>5</v>
      </c>
      <c r="I24" s="11">
        <v>2</v>
      </c>
      <c r="J24" s="11">
        <v>2</v>
      </c>
      <c r="K24" s="11">
        <v>3</v>
      </c>
      <c r="L24" s="11">
        <v>3</v>
      </c>
      <c r="M24" s="7">
        <f t="shared" si="0"/>
        <v>0.72417400419287214</v>
      </c>
      <c r="N24" s="6">
        <f t="shared" si="1"/>
        <v>7</v>
      </c>
    </row>
    <row r="25" spans="1:14" x14ac:dyDescent="0.2">
      <c r="A25" s="9" t="s">
        <v>94</v>
      </c>
      <c r="B25" s="11" t="s">
        <v>86</v>
      </c>
      <c r="C25" s="12">
        <v>4100</v>
      </c>
      <c r="D25" s="13">
        <v>0.87</v>
      </c>
      <c r="E25" s="6">
        <v>50</v>
      </c>
      <c r="F25" s="6">
        <v>4</v>
      </c>
      <c r="G25" s="11">
        <v>3</v>
      </c>
      <c r="H25" s="11">
        <v>3</v>
      </c>
      <c r="I25" s="11">
        <v>5</v>
      </c>
      <c r="J25" s="11">
        <v>5</v>
      </c>
      <c r="K25" s="11">
        <v>4</v>
      </c>
      <c r="L25" s="11">
        <v>3</v>
      </c>
      <c r="M25" s="7">
        <f t="shared" si="0"/>
        <v>0.85400000000000031</v>
      </c>
      <c r="N25" s="6">
        <f t="shared" si="1"/>
        <v>2</v>
      </c>
    </row>
    <row r="26" spans="1:14" x14ac:dyDescent="0.2">
      <c r="A26" s="9" t="s">
        <v>95</v>
      </c>
      <c r="B26" s="11" t="s">
        <v>96</v>
      </c>
      <c r="C26" s="12">
        <v>5100</v>
      </c>
      <c r="D26" s="13">
        <v>0.91</v>
      </c>
      <c r="E26" s="6">
        <v>150</v>
      </c>
      <c r="F26" s="6">
        <v>14</v>
      </c>
      <c r="G26" s="11">
        <v>4</v>
      </c>
      <c r="H26" s="11">
        <v>4</v>
      </c>
      <c r="I26" s="11">
        <v>4</v>
      </c>
      <c r="J26" s="11">
        <v>3</v>
      </c>
      <c r="K26" s="11">
        <v>4</v>
      </c>
      <c r="L26" s="11">
        <v>4</v>
      </c>
      <c r="M26" s="7">
        <f t="shared" si="0"/>
        <v>0.76393277310924379</v>
      </c>
      <c r="N26" s="6">
        <f t="shared" si="1"/>
        <v>6</v>
      </c>
    </row>
    <row r="29" spans="1:14" ht="17" x14ac:dyDescent="0.2">
      <c r="A29" s="19" t="s">
        <v>97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/>
    </row>
    <row r="30" spans="1:14" ht="28" customHeight="1" x14ac:dyDescent="0.2">
      <c r="A30" s="17" t="s">
        <v>98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28" customHeight="1" x14ac:dyDescent="0.2">
      <c r="A31" s="17" t="s">
        <v>99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28" customHeight="1" x14ac:dyDescent="0.2">
      <c r="A32" s="17" t="s">
        <v>100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28" customHeight="1" x14ac:dyDescent="0.2">
      <c r="A33" s="17" t="s">
        <v>101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</sheetData>
  <mergeCells count="6">
    <mergeCell ref="A2:L2"/>
    <mergeCell ref="A31:N31"/>
    <mergeCell ref="A30:N30"/>
    <mergeCell ref="A29:N29"/>
    <mergeCell ref="A33:N33"/>
    <mergeCell ref="A32:N32"/>
  </mergeCells>
  <conditionalFormatting sqref="M20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4" right="0.4" top="0.4" bottom="0.4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5"/>
  <sheetViews>
    <sheetView zoomScale="85" zoomScaleNormal="85" workbookViewId="0"/>
  </sheetViews>
  <sheetFormatPr baseColWidth="10" defaultColWidth="8.83203125" defaultRowHeight="15" x14ac:dyDescent="0.2"/>
  <cols>
    <col min="1" max="1" width="8.6640625" customWidth="1"/>
    <col min="2" max="2" width="38.6640625" customWidth="1"/>
    <col min="3" max="4" width="18.6640625" customWidth="1"/>
    <col min="5" max="6" width="14.6640625" customWidth="1"/>
    <col min="7" max="7" width="12.6640625" customWidth="1"/>
  </cols>
  <sheetData>
    <row r="1" spans="1:7" ht="21" x14ac:dyDescent="0.25">
      <c r="A1" s="1" t="s">
        <v>102</v>
      </c>
    </row>
    <row r="2" spans="1:7" x14ac:dyDescent="0.2">
      <c r="A2" s="17" t="s">
        <v>103</v>
      </c>
      <c r="B2" s="18"/>
      <c r="C2" s="18"/>
      <c r="D2" s="18"/>
      <c r="E2" s="18"/>
      <c r="F2" s="18"/>
      <c r="G2" s="18"/>
    </row>
    <row r="4" spans="1:7" ht="30" customHeight="1" x14ac:dyDescent="0.2">
      <c r="A4" s="4" t="s">
        <v>104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</row>
    <row r="5" spans="1:7" x14ac:dyDescent="0.2">
      <c r="A5" s="11">
        <v>1</v>
      </c>
      <c r="B5" s="9" t="s">
        <v>111</v>
      </c>
      <c r="C5" s="11" t="s">
        <v>112</v>
      </c>
      <c r="D5" s="12">
        <v>18500000</v>
      </c>
      <c r="E5" s="8">
        <f t="shared" ref="E5:E19" si="0">D5/SUM($D$5:$D$19)</f>
        <v>0.22788864252278887</v>
      </c>
      <c r="F5" s="8">
        <f>E5</f>
        <v>0.22788864252278887</v>
      </c>
      <c r="G5" s="11" t="str">
        <f t="shared" ref="G5:G19" si="1">IF(F5&lt;=0.8,"A",IF(F5&lt;=0.95,"B","C"))</f>
        <v>A</v>
      </c>
    </row>
    <row r="6" spans="1:7" x14ac:dyDescent="0.2">
      <c r="A6" s="11">
        <v>2</v>
      </c>
      <c r="B6" s="9" t="s">
        <v>113</v>
      </c>
      <c r="C6" s="11" t="s">
        <v>114</v>
      </c>
      <c r="D6" s="12">
        <v>14200000</v>
      </c>
      <c r="E6" s="8">
        <f t="shared" si="0"/>
        <v>0.17491993101749198</v>
      </c>
      <c r="F6" s="8">
        <f t="shared" ref="F6:F19" si="2">F5+E6</f>
        <v>0.40280857354028088</v>
      </c>
      <c r="G6" s="11" t="str">
        <f t="shared" si="1"/>
        <v>A</v>
      </c>
    </row>
    <row r="7" spans="1:7" x14ac:dyDescent="0.2">
      <c r="A7" s="11">
        <v>3</v>
      </c>
      <c r="B7" s="9" t="s">
        <v>115</v>
      </c>
      <c r="C7" s="11" t="s">
        <v>116</v>
      </c>
      <c r="D7" s="12">
        <v>11800000</v>
      </c>
      <c r="E7" s="8">
        <f t="shared" si="0"/>
        <v>0.14535599901453561</v>
      </c>
      <c r="F7" s="8">
        <f t="shared" si="2"/>
        <v>0.54816457255481654</v>
      </c>
      <c r="G7" s="11" t="str">
        <f t="shared" si="1"/>
        <v>A</v>
      </c>
    </row>
    <row r="8" spans="1:7" x14ac:dyDescent="0.2">
      <c r="A8" s="11">
        <v>4</v>
      </c>
      <c r="B8" s="9" t="s">
        <v>117</v>
      </c>
      <c r="C8" s="11" t="s">
        <v>112</v>
      </c>
      <c r="D8" s="12">
        <v>9300000</v>
      </c>
      <c r="E8" s="8">
        <f t="shared" si="0"/>
        <v>0.11456023651145603</v>
      </c>
      <c r="F8" s="8">
        <f t="shared" si="2"/>
        <v>0.66272480906627251</v>
      </c>
      <c r="G8" s="11" t="str">
        <f t="shared" si="1"/>
        <v>A</v>
      </c>
    </row>
    <row r="9" spans="1:7" x14ac:dyDescent="0.2">
      <c r="A9" s="11">
        <v>5</v>
      </c>
      <c r="B9" s="9" t="s">
        <v>118</v>
      </c>
      <c r="C9" s="11" t="s">
        <v>114</v>
      </c>
      <c r="D9" s="12">
        <v>7400000</v>
      </c>
      <c r="E9" s="8">
        <f t="shared" si="0"/>
        <v>9.1155457009115551E-2</v>
      </c>
      <c r="F9" s="8">
        <f t="shared" si="2"/>
        <v>0.75388026607538805</v>
      </c>
      <c r="G9" s="11" t="str">
        <f t="shared" si="1"/>
        <v>A</v>
      </c>
    </row>
    <row r="10" spans="1:7" x14ac:dyDescent="0.2">
      <c r="A10" s="11">
        <v>6</v>
      </c>
      <c r="B10" s="9" t="s">
        <v>119</v>
      </c>
      <c r="C10" s="11" t="s">
        <v>116</v>
      </c>
      <c r="D10" s="12">
        <v>5600000</v>
      </c>
      <c r="E10" s="8">
        <f t="shared" si="0"/>
        <v>6.8982508006898258E-2</v>
      </c>
      <c r="F10" s="8">
        <f t="shared" si="2"/>
        <v>0.82286277408228625</v>
      </c>
      <c r="G10" s="11" t="str">
        <f t="shared" si="1"/>
        <v>B</v>
      </c>
    </row>
    <row r="11" spans="1:7" x14ac:dyDescent="0.2">
      <c r="A11" s="11">
        <v>7</v>
      </c>
      <c r="B11" s="9" t="s">
        <v>120</v>
      </c>
      <c r="C11" s="11" t="s">
        <v>112</v>
      </c>
      <c r="D11" s="12">
        <v>3900000</v>
      </c>
      <c r="E11" s="8">
        <f t="shared" si="0"/>
        <v>4.804138950480414E-2</v>
      </c>
      <c r="F11" s="8">
        <f t="shared" si="2"/>
        <v>0.87090416358709044</v>
      </c>
      <c r="G11" s="11" t="str">
        <f t="shared" si="1"/>
        <v>B</v>
      </c>
    </row>
    <row r="12" spans="1:7" x14ac:dyDescent="0.2">
      <c r="A12" s="11">
        <v>8</v>
      </c>
      <c r="B12" s="9" t="s">
        <v>121</v>
      </c>
      <c r="C12" s="11" t="s">
        <v>114</v>
      </c>
      <c r="D12" s="12">
        <v>3200000</v>
      </c>
      <c r="E12" s="8">
        <f t="shared" si="0"/>
        <v>3.9418576003941858E-2</v>
      </c>
      <c r="F12" s="8">
        <f t="shared" si="2"/>
        <v>0.91032273959103227</v>
      </c>
      <c r="G12" s="11" t="str">
        <f t="shared" si="1"/>
        <v>B</v>
      </c>
    </row>
    <row r="13" spans="1:7" x14ac:dyDescent="0.2">
      <c r="A13" s="11">
        <v>9</v>
      </c>
      <c r="B13" s="9" t="s">
        <v>122</v>
      </c>
      <c r="C13" s="11" t="s">
        <v>116</v>
      </c>
      <c r="D13" s="12">
        <v>2700000</v>
      </c>
      <c r="E13" s="8">
        <f t="shared" si="0"/>
        <v>3.325942350332594E-2</v>
      </c>
      <c r="F13" s="8">
        <f t="shared" si="2"/>
        <v>0.94358216309435816</v>
      </c>
      <c r="G13" s="11" t="str">
        <f t="shared" si="1"/>
        <v>B</v>
      </c>
    </row>
    <row r="14" spans="1:7" x14ac:dyDescent="0.2">
      <c r="A14" s="11">
        <v>10</v>
      </c>
      <c r="B14" s="9" t="s">
        <v>123</v>
      </c>
      <c r="C14" s="11" t="s">
        <v>112</v>
      </c>
      <c r="D14" s="12">
        <v>1400000</v>
      </c>
      <c r="E14" s="8">
        <f t="shared" si="0"/>
        <v>1.7245627001724564E-2</v>
      </c>
      <c r="F14" s="8">
        <f t="shared" si="2"/>
        <v>0.96082779009608277</v>
      </c>
      <c r="G14" s="11" t="str">
        <f t="shared" si="1"/>
        <v>C</v>
      </c>
    </row>
    <row r="15" spans="1:7" x14ac:dyDescent="0.2">
      <c r="A15" s="11">
        <v>11</v>
      </c>
      <c r="B15" s="9" t="s">
        <v>124</v>
      </c>
      <c r="C15" s="11" t="s">
        <v>114</v>
      </c>
      <c r="D15" s="12">
        <v>1100000</v>
      </c>
      <c r="E15" s="8">
        <f t="shared" si="0"/>
        <v>1.3550135501355014E-2</v>
      </c>
      <c r="F15" s="8">
        <f t="shared" si="2"/>
        <v>0.97437792559743774</v>
      </c>
      <c r="G15" s="11" t="str">
        <f t="shared" si="1"/>
        <v>C</v>
      </c>
    </row>
    <row r="16" spans="1:7" x14ac:dyDescent="0.2">
      <c r="A16" s="11">
        <v>12</v>
      </c>
      <c r="B16" s="9" t="s">
        <v>125</v>
      </c>
      <c r="C16" s="11" t="s">
        <v>112</v>
      </c>
      <c r="D16" s="12">
        <v>850000</v>
      </c>
      <c r="E16" s="8">
        <f t="shared" si="0"/>
        <v>1.0470559251047055E-2</v>
      </c>
      <c r="F16" s="8">
        <f t="shared" si="2"/>
        <v>0.98484848484848475</v>
      </c>
      <c r="G16" s="11" t="str">
        <f t="shared" si="1"/>
        <v>C</v>
      </c>
    </row>
    <row r="17" spans="1:7" x14ac:dyDescent="0.2">
      <c r="A17" s="11">
        <v>13</v>
      </c>
      <c r="B17" s="9" t="s">
        <v>126</v>
      </c>
      <c r="C17" s="11" t="s">
        <v>116</v>
      </c>
      <c r="D17" s="12">
        <v>620000</v>
      </c>
      <c r="E17" s="8">
        <f t="shared" si="0"/>
        <v>7.6373491007637349E-3</v>
      </c>
      <c r="F17" s="8">
        <f t="shared" si="2"/>
        <v>0.9924858339492485</v>
      </c>
      <c r="G17" s="11" t="str">
        <f t="shared" si="1"/>
        <v>C</v>
      </c>
    </row>
    <row r="18" spans="1:7" x14ac:dyDescent="0.2">
      <c r="A18" s="11">
        <v>14</v>
      </c>
      <c r="B18" s="9" t="s">
        <v>127</v>
      </c>
      <c r="C18" s="11" t="s">
        <v>114</v>
      </c>
      <c r="D18" s="12">
        <v>430000</v>
      </c>
      <c r="E18" s="8">
        <f t="shared" si="0"/>
        <v>5.2968711505296875E-3</v>
      </c>
      <c r="F18" s="8">
        <f t="shared" si="2"/>
        <v>0.99778270509977818</v>
      </c>
      <c r="G18" s="11" t="str">
        <f t="shared" si="1"/>
        <v>C</v>
      </c>
    </row>
    <row r="19" spans="1:7" x14ac:dyDescent="0.2">
      <c r="A19" s="11">
        <v>15</v>
      </c>
      <c r="B19" s="9" t="s">
        <v>128</v>
      </c>
      <c r="C19" s="11" t="s">
        <v>112</v>
      </c>
      <c r="D19" s="12">
        <v>180000</v>
      </c>
      <c r="E19" s="8">
        <f t="shared" si="0"/>
        <v>2.2172949002217295E-3</v>
      </c>
      <c r="F19" s="8">
        <f t="shared" si="2"/>
        <v>0.99999999999999989</v>
      </c>
      <c r="G19" s="11" t="str">
        <f t="shared" si="1"/>
        <v>C</v>
      </c>
    </row>
    <row r="20" spans="1:7" x14ac:dyDescent="0.2">
      <c r="B20" s="5" t="s">
        <v>70</v>
      </c>
      <c r="D20" s="14">
        <f>SUM(D5:D19)</f>
        <v>81180000</v>
      </c>
      <c r="E20" s="10">
        <f>SUM(E5:E19)</f>
        <v>0.99999999999999989</v>
      </c>
    </row>
    <row r="22" spans="1:7" ht="17" x14ac:dyDescent="0.2">
      <c r="A22" s="19" t="s">
        <v>97</v>
      </c>
      <c r="B22" s="20"/>
      <c r="C22" s="20"/>
      <c r="D22" s="20"/>
      <c r="E22" s="20"/>
      <c r="F22" s="20"/>
      <c r="G22" s="21"/>
    </row>
    <row r="23" spans="1:7" ht="26" customHeight="1" x14ac:dyDescent="0.2">
      <c r="A23" s="17" t="s">
        <v>129</v>
      </c>
      <c r="B23" s="18"/>
      <c r="C23" s="18"/>
      <c r="D23" s="18"/>
      <c r="E23" s="18"/>
      <c r="F23" s="18"/>
      <c r="G23" s="18"/>
    </row>
    <row r="24" spans="1:7" ht="26" customHeight="1" x14ac:dyDescent="0.2">
      <c r="A24" s="17" t="s">
        <v>130</v>
      </c>
      <c r="B24" s="18"/>
      <c r="C24" s="18"/>
      <c r="D24" s="18"/>
      <c r="E24" s="18"/>
      <c r="F24" s="18"/>
      <c r="G24" s="18"/>
    </row>
    <row r="25" spans="1:7" ht="26" customHeight="1" x14ac:dyDescent="0.2">
      <c r="A25" s="17" t="s">
        <v>131</v>
      </c>
      <c r="B25" s="18"/>
      <c r="C25" s="18"/>
      <c r="D25" s="18"/>
      <c r="E25" s="18"/>
      <c r="F25" s="18"/>
      <c r="G25" s="18"/>
    </row>
  </sheetData>
  <mergeCells count="5">
    <mergeCell ref="A22:G22"/>
    <mergeCell ref="A24:G24"/>
    <mergeCell ref="A2:G2"/>
    <mergeCell ref="A25:G25"/>
    <mergeCell ref="A23:G23"/>
  </mergeCells>
  <conditionalFormatting sqref="G5:G19">
    <cfRule type="containsText" dxfId="10" priority="1" operator="containsText" text="A">
      <formula>NOT(ISERROR(SEARCH("A",G5)))</formula>
    </cfRule>
    <cfRule type="containsText" dxfId="9" priority="2" operator="containsText" text="B">
      <formula>NOT(ISERROR(SEARCH("B",G5)))</formula>
    </cfRule>
    <cfRule type="containsText" dxfId="8" priority="3" operator="containsText" text="C">
      <formula>NOT(ISERROR(SEARCH("C",G5)))</formula>
    </cfRule>
  </conditionalFormatting>
  <pageMargins left="0.4" right="0.4" top="0.4" bottom="0.4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4"/>
  <sheetViews>
    <sheetView zoomScale="85" zoomScaleNormal="85" workbookViewId="0"/>
  </sheetViews>
  <sheetFormatPr baseColWidth="10" defaultColWidth="8.83203125" defaultRowHeight="15" x14ac:dyDescent="0.2"/>
  <cols>
    <col min="1" max="1" width="8.6640625" customWidth="1"/>
    <col min="2" max="2" width="38.6640625" customWidth="1"/>
    <col min="3" max="14" width="12.6640625" customWidth="1"/>
    <col min="15" max="17" width="14.6640625" customWidth="1"/>
  </cols>
  <sheetData>
    <row r="1" spans="1:18" ht="21" x14ac:dyDescent="0.25">
      <c r="A1" s="1" t="s">
        <v>132</v>
      </c>
    </row>
    <row r="2" spans="1:18" x14ac:dyDescent="0.2">
      <c r="A2" s="17" t="s">
        <v>133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4" spans="1:18" ht="28" customHeight="1" x14ac:dyDescent="0.2">
      <c r="A4" s="4" t="s">
        <v>104</v>
      </c>
      <c r="B4" s="4" t="s">
        <v>105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J4" s="4" t="s">
        <v>141</v>
      </c>
      <c r="K4" s="4" t="s">
        <v>142</v>
      </c>
      <c r="L4" s="4" t="s">
        <v>143</v>
      </c>
      <c r="M4" s="4" t="s">
        <v>144</v>
      </c>
      <c r="N4" s="4" t="s">
        <v>145</v>
      </c>
      <c r="O4" s="4" t="s">
        <v>146</v>
      </c>
      <c r="P4" s="4" t="s">
        <v>147</v>
      </c>
      <c r="Q4" s="4" t="s">
        <v>148</v>
      </c>
      <c r="R4" s="4" t="s">
        <v>149</v>
      </c>
    </row>
    <row r="5" spans="1:18" x14ac:dyDescent="0.2">
      <c r="A5" s="11">
        <v>1</v>
      </c>
      <c r="B5" s="9" t="s">
        <v>111</v>
      </c>
      <c r="C5" s="7">
        <v>13</v>
      </c>
      <c r="D5" s="7">
        <v>14</v>
      </c>
      <c r="E5" s="7">
        <v>26</v>
      </c>
      <c r="F5" s="7">
        <v>30</v>
      </c>
      <c r="G5" s="7">
        <v>18</v>
      </c>
      <c r="H5" s="7">
        <v>11</v>
      </c>
      <c r="I5" s="7">
        <v>10</v>
      </c>
      <c r="J5" s="7">
        <v>11</v>
      </c>
      <c r="K5" s="7">
        <v>26</v>
      </c>
      <c r="L5" s="7">
        <v>28</v>
      </c>
      <c r="M5" s="7">
        <v>16</v>
      </c>
      <c r="N5" s="7">
        <v>14</v>
      </c>
      <c r="O5" s="7">
        <f t="shared" ref="O5:O19" si="0">AVERAGE(C5:N5)</f>
        <v>18.083333333333332</v>
      </c>
      <c r="P5" s="7">
        <f t="shared" ref="P5:P19" si="1">STDEV(C5:N5)</f>
        <v>7.3541371576367354</v>
      </c>
      <c r="Q5" s="8">
        <f t="shared" ref="Q5:Q19" si="2">P5/O5</f>
        <v>0.40668039581401305</v>
      </c>
      <c r="R5" s="11" t="str">
        <f t="shared" ref="R5:R19" si="3">IF(Q5&lt;0.1,"X",IF(Q5&lt;0.25,"Y","Z"))</f>
        <v>Z</v>
      </c>
    </row>
    <row r="6" spans="1:18" x14ac:dyDescent="0.2">
      <c r="A6" s="11">
        <v>2</v>
      </c>
      <c r="B6" s="9" t="s">
        <v>113</v>
      </c>
      <c r="C6" s="7">
        <v>8</v>
      </c>
      <c r="D6" s="7">
        <v>10</v>
      </c>
      <c r="E6" s="7">
        <v>21</v>
      </c>
      <c r="F6" s="7">
        <v>22</v>
      </c>
      <c r="G6" s="7">
        <v>19</v>
      </c>
      <c r="H6" s="7">
        <v>14</v>
      </c>
      <c r="I6" s="7">
        <v>11</v>
      </c>
      <c r="J6" s="7">
        <v>10</v>
      </c>
      <c r="K6" s="7">
        <v>13</v>
      </c>
      <c r="L6" s="7">
        <v>13</v>
      </c>
      <c r="M6" s="7">
        <v>12</v>
      </c>
      <c r="N6" s="7">
        <v>13</v>
      </c>
      <c r="O6" s="7">
        <f t="shared" si="0"/>
        <v>13.833333333333334</v>
      </c>
      <c r="P6" s="7">
        <f t="shared" si="1"/>
        <v>4.4890439017139423</v>
      </c>
      <c r="Q6" s="8">
        <f t="shared" si="2"/>
        <v>0.3245091977142609</v>
      </c>
      <c r="R6" s="11" t="str">
        <f t="shared" si="3"/>
        <v>Z</v>
      </c>
    </row>
    <row r="7" spans="1:18" x14ac:dyDescent="0.2">
      <c r="A7" s="11">
        <v>3</v>
      </c>
      <c r="B7" s="9" t="s">
        <v>115</v>
      </c>
      <c r="C7" s="7">
        <v>10</v>
      </c>
      <c r="D7" s="7">
        <v>10</v>
      </c>
      <c r="E7" s="7">
        <v>12</v>
      </c>
      <c r="F7" s="7">
        <v>12</v>
      </c>
      <c r="G7" s="7">
        <v>12</v>
      </c>
      <c r="H7" s="7">
        <v>12</v>
      </c>
      <c r="I7" s="7">
        <v>12</v>
      </c>
      <c r="J7" s="7">
        <v>11</v>
      </c>
      <c r="K7" s="7">
        <v>12</v>
      </c>
      <c r="L7" s="7">
        <v>14</v>
      </c>
      <c r="M7" s="7">
        <v>12</v>
      </c>
      <c r="N7" s="7">
        <v>11</v>
      </c>
      <c r="O7" s="7">
        <f t="shared" si="0"/>
        <v>11.666666666666666</v>
      </c>
      <c r="P7" s="7">
        <f t="shared" si="1"/>
        <v>1.0730867399773196</v>
      </c>
      <c r="Q7" s="8">
        <f t="shared" si="2"/>
        <v>9.1978863426627408E-2</v>
      </c>
      <c r="R7" s="11" t="str">
        <f t="shared" si="3"/>
        <v>X</v>
      </c>
    </row>
    <row r="8" spans="1:18" x14ac:dyDescent="0.2">
      <c r="A8" s="11">
        <v>4</v>
      </c>
      <c r="B8" s="9" t="s">
        <v>117</v>
      </c>
      <c r="C8" s="7">
        <v>7</v>
      </c>
      <c r="D8" s="7">
        <v>8</v>
      </c>
      <c r="E8" s="7">
        <v>15</v>
      </c>
      <c r="F8" s="7">
        <v>13</v>
      </c>
      <c r="G8" s="7">
        <v>9</v>
      </c>
      <c r="H8" s="7">
        <v>5</v>
      </c>
      <c r="I8" s="7">
        <v>5</v>
      </c>
      <c r="J8" s="7">
        <v>5</v>
      </c>
      <c r="K8" s="7">
        <v>12</v>
      </c>
      <c r="L8" s="7">
        <v>14</v>
      </c>
      <c r="M8" s="7">
        <v>8</v>
      </c>
      <c r="N8" s="7">
        <v>7</v>
      </c>
      <c r="O8" s="7">
        <f t="shared" si="0"/>
        <v>9</v>
      </c>
      <c r="P8" s="7">
        <f t="shared" si="1"/>
        <v>3.6181361349331636</v>
      </c>
      <c r="Q8" s="8">
        <f t="shared" si="2"/>
        <v>0.40201512610368484</v>
      </c>
      <c r="R8" s="11" t="str">
        <f t="shared" si="3"/>
        <v>Z</v>
      </c>
    </row>
    <row r="9" spans="1:18" x14ac:dyDescent="0.2">
      <c r="A9" s="11">
        <v>5</v>
      </c>
      <c r="B9" s="9" t="s">
        <v>118</v>
      </c>
      <c r="C9" s="7">
        <v>4</v>
      </c>
      <c r="D9" s="7">
        <v>6</v>
      </c>
      <c r="E9" s="7">
        <v>11</v>
      </c>
      <c r="F9" s="7">
        <v>13</v>
      </c>
      <c r="G9" s="7">
        <v>10</v>
      </c>
      <c r="H9" s="7">
        <v>7</v>
      </c>
      <c r="I9" s="7">
        <v>7</v>
      </c>
      <c r="J9" s="7">
        <v>6</v>
      </c>
      <c r="K9" s="7">
        <v>7</v>
      </c>
      <c r="L9" s="7">
        <v>8</v>
      </c>
      <c r="M9" s="7">
        <v>7</v>
      </c>
      <c r="N9" s="7">
        <v>6</v>
      </c>
      <c r="O9" s="7">
        <f t="shared" si="0"/>
        <v>7.666666666666667</v>
      </c>
      <c r="P9" s="7">
        <f t="shared" si="1"/>
        <v>2.4984843890695494</v>
      </c>
      <c r="Q9" s="8">
        <f t="shared" si="2"/>
        <v>0.32588926813950642</v>
      </c>
      <c r="R9" s="11" t="str">
        <f t="shared" si="3"/>
        <v>Z</v>
      </c>
    </row>
    <row r="10" spans="1:18" x14ac:dyDescent="0.2">
      <c r="A10" s="11">
        <v>6</v>
      </c>
      <c r="B10" s="9" t="s">
        <v>119</v>
      </c>
      <c r="C10" s="7">
        <v>5</v>
      </c>
      <c r="D10" s="7">
        <v>5</v>
      </c>
      <c r="E10" s="7">
        <v>5</v>
      </c>
      <c r="F10" s="7">
        <v>5</v>
      </c>
      <c r="G10" s="7">
        <v>5</v>
      </c>
      <c r="H10" s="7">
        <v>6</v>
      </c>
      <c r="I10" s="7">
        <v>5</v>
      </c>
      <c r="J10" s="7">
        <v>6</v>
      </c>
      <c r="K10" s="7">
        <v>6</v>
      </c>
      <c r="L10" s="7">
        <v>7</v>
      </c>
      <c r="M10" s="7">
        <v>6</v>
      </c>
      <c r="N10" s="7">
        <v>6</v>
      </c>
      <c r="O10" s="7">
        <f t="shared" si="0"/>
        <v>5.583333333333333</v>
      </c>
      <c r="P10" s="7">
        <f t="shared" si="1"/>
        <v>0.66855792342152276</v>
      </c>
      <c r="Q10" s="8">
        <f t="shared" si="2"/>
        <v>0.11974171762773543</v>
      </c>
      <c r="R10" s="11" t="str">
        <f t="shared" si="3"/>
        <v>Y</v>
      </c>
    </row>
    <row r="11" spans="1:18" x14ac:dyDescent="0.2">
      <c r="A11" s="11">
        <v>7</v>
      </c>
      <c r="B11" s="9" t="s">
        <v>120</v>
      </c>
      <c r="C11" s="7">
        <v>3</v>
      </c>
      <c r="D11" s="7">
        <v>3</v>
      </c>
      <c r="E11" s="7">
        <v>5</v>
      </c>
      <c r="F11" s="7">
        <v>6</v>
      </c>
      <c r="G11" s="7">
        <v>4</v>
      </c>
      <c r="H11" s="7">
        <v>2</v>
      </c>
      <c r="I11" s="7">
        <v>2</v>
      </c>
      <c r="J11" s="7">
        <v>2</v>
      </c>
      <c r="K11" s="7">
        <v>5</v>
      </c>
      <c r="L11" s="7">
        <v>6</v>
      </c>
      <c r="M11" s="7">
        <v>4</v>
      </c>
      <c r="N11" s="7">
        <v>3</v>
      </c>
      <c r="O11" s="7">
        <f t="shared" si="0"/>
        <v>3.75</v>
      </c>
      <c r="P11" s="7">
        <f t="shared" si="1"/>
        <v>1.4847711791873706</v>
      </c>
      <c r="Q11" s="8">
        <f t="shared" si="2"/>
        <v>0.39593898111663217</v>
      </c>
      <c r="R11" s="11" t="str">
        <f t="shared" si="3"/>
        <v>Z</v>
      </c>
    </row>
    <row r="12" spans="1:18" x14ac:dyDescent="0.2">
      <c r="A12" s="11">
        <v>8</v>
      </c>
      <c r="B12" s="9" t="s">
        <v>121</v>
      </c>
      <c r="C12" s="7">
        <v>2</v>
      </c>
      <c r="D12" s="7">
        <v>2</v>
      </c>
      <c r="E12" s="7">
        <v>4</v>
      </c>
      <c r="F12" s="7">
        <v>5</v>
      </c>
      <c r="G12" s="7">
        <v>5</v>
      </c>
      <c r="H12" s="7">
        <v>3</v>
      </c>
      <c r="I12" s="7">
        <v>2</v>
      </c>
      <c r="J12" s="7">
        <v>2</v>
      </c>
      <c r="K12" s="7">
        <v>3</v>
      </c>
      <c r="L12" s="7">
        <v>3</v>
      </c>
      <c r="M12" s="7">
        <v>3</v>
      </c>
      <c r="N12" s="7">
        <v>3</v>
      </c>
      <c r="O12" s="7">
        <f t="shared" si="0"/>
        <v>3.0833333333333335</v>
      </c>
      <c r="P12" s="7">
        <f t="shared" si="1"/>
        <v>1.083624669450832</v>
      </c>
      <c r="Q12" s="8">
        <f t="shared" si="2"/>
        <v>0.35144583874081037</v>
      </c>
      <c r="R12" s="11" t="str">
        <f t="shared" si="3"/>
        <v>Z</v>
      </c>
    </row>
    <row r="13" spans="1:18" x14ac:dyDescent="0.2">
      <c r="A13" s="11">
        <v>9</v>
      </c>
      <c r="B13" s="9" t="s">
        <v>122</v>
      </c>
      <c r="C13" s="7">
        <v>2</v>
      </c>
      <c r="D13" s="7">
        <v>2</v>
      </c>
      <c r="E13" s="7">
        <v>3</v>
      </c>
      <c r="F13" s="7">
        <v>3</v>
      </c>
      <c r="G13" s="7">
        <v>3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7">
        <v>3</v>
      </c>
      <c r="N13" s="7">
        <v>3</v>
      </c>
      <c r="O13" s="7">
        <f t="shared" si="0"/>
        <v>2.8333333333333335</v>
      </c>
      <c r="P13" s="7">
        <f t="shared" si="1"/>
        <v>0.38924947208076205</v>
      </c>
      <c r="Q13" s="8">
        <f t="shared" si="2"/>
        <v>0.13738216661673955</v>
      </c>
      <c r="R13" s="11" t="str">
        <f t="shared" si="3"/>
        <v>Y</v>
      </c>
    </row>
    <row r="14" spans="1:18" x14ac:dyDescent="0.2">
      <c r="A14" s="11">
        <v>10</v>
      </c>
      <c r="B14" s="9" t="s">
        <v>123</v>
      </c>
      <c r="C14" s="7">
        <v>1</v>
      </c>
      <c r="D14" s="7">
        <v>1</v>
      </c>
      <c r="E14" s="7">
        <v>3</v>
      </c>
      <c r="F14" s="7">
        <v>3</v>
      </c>
      <c r="G14" s="7">
        <v>1</v>
      </c>
      <c r="H14" s="7">
        <v>1</v>
      </c>
      <c r="I14" s="7">
        <v>1</v>
      </c>
      <c r="J14" s="7">
        <v>1</v>
      </c>
      <c r="K14" s="7">
        <v>2</v>
      </c>
      <c r="L14" s="7">
        <v>3</v>
      </c>
      <c r="M14" s="7">
        <v>1</v>
      </c>
      <c r="N14" s="7">
        <v>1</v>
      </c>
      <c r="O14" s="7">
        <f t="shared" si="0"/>
        <v>1.5833333333333333</v>
      </c>
      <c r="P14" s="7">
        <f t="shared" si="1"/>
        <v>0.90033663737851999</v>
      </c>
      <c r="Q14" s="8">
        <f t="shared" si="2"/>
        <v>0.56863366571274954</v>
      </c>
      <c r="R14" s="11" t="str">
        <f t="shared" si="3"/>
        <v>Z</v>
      </c>
    </row>
    <row r="15" spans="1:18" x14ac:dyDescent="0.2">
      <c r="A15" s="11">
        <v>11</v>
      </c>
      <c r="B15" s="9" t="s">
        <v>124</v>
      </c>
      <c r="C15" s="7">
        <v>1</v>
      </c>
      <c r="D15" s="7">
        <v>1</v>
      </c>
      <c r="E15" s="7">
        <v>2</v>
      </c>
      <c r="F15" s="7">
        <v>2</v>
      </c>
      <c r="G15" s="7">
        <v>2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f t="shared" si="0"/>
        <v>1.25</v>
      </c>
      <c r="P15" s="7">
        <f t="shared" si="1"/>
        <v>0.45226701686664544</v>
      </c>
      <c r="Q15" s="8">
        <f t="shared" si="2"/>
        <v>0.36181361349331637</v>
      </c>
      <c r="R15" s="11" t="str">
        <f t="shared" si="3"/>
        <v>Z</v>
      </c>
    </row>
    <row r="16" spans="1:18" x14ac:dyDescent="0.2">
      <c r="A16" s="11">
        <v>12</v>
      </c>
      <c r="B16" s="9" t="s">
        <v>125</v>
      </c>
      <c r="C16" s="7">
        <v>1</v>
      </c>
      <c r="D16" s="7">
        <v>1</v>
      </c>
      <c r="E16" s="7">
        <v>1</v>
      </c>
      <c r="F16" s="7">
        <v>2</v>
      </c>
      <c r="G16" s="7">
        <v>1</v>
      </c>
      <c r="H16" s="7">
        <v>0</v>
      </c>
      <c r="I16" s="7">
        <v>1</v>
      </c>
      <c r="J16" s="7">
        <v>1</v>
      </c>
      <c r="K16" s="7">
        <v>1</v>
      </c>
      <c r="L16" s="7">
        <v>2</v>
      </c>
      <c r="M16" s="7">
        <v>1</v>
      </c>
      <c r="N16" s="7">
        <v>1</v>
      </c>
      <c r="O16" s="7">
        <f t="shared" si="0"/>
        <v>1.0833333333333333</v>
      </c>
      <c r="P16" s="7">
        <f t="shared" si="1"/>
        <v>0.51492865054443715</v>
      </c>
      <c r="Q16" s="8">
        <f t="shared" si="2"/>
        <v>0.47531875434871124</v>
      </c>
      <c r="R16" s="11" t="str">
        <f t="shared" si="3"/>
        <v>Z</v>
      </c>
    </row>
    <row r="17" spans="1:18" x14ac:dyDescent="0.2">
      <c r="A17" s="11">
        <v>13</v>
      </c>
      <c r="B17" s="9" t="s">
        <v>126</v>
      </c>
      <c r="C17" s="7">
        <v>1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f t="shared" si="0"/>
        <v>1</v>
      </c>
      <c r="P17" s="7">
        <f t="shared" si="1"/>
        <v>0</v>
      </c>
      <c r="Q17" s="8">
        <f t="shared" si="2"/>
        <v>0</v>
      </c>
      <c r="R17" s="11" t="str">
        <f t="shared" si="3"/>
        <v>X</v>
      </c>
    </row>
    <row r="18" spans="1:18" x14ac:dyDescent="0.2">
      <c r="A18" s="11">
        <v>14</v>
      </c>
      <c r="B18" s="9" t="s">
        <v>127</v>
      </c>
      <c r="C18" s="7">
        <v>1</v>
      </c>
      <c r="D18" s="7">
        <v>1</v>
      </c>
      <c r="E18" s="7">
        <v>2</v>
      </c>
      <c r="F18" s="7">
        <v>2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f t="shared" si="0"/>
        <v>1.1666666666666667</v>
      </c>
      <c r="P18" s="7">
        <f t="shared" si="1"/>
        <v>0.38924947208076166</v>
      </c>
      <c r="Q18" s="8">
        <f t="shared" si="2"/>
        <v>0.33364240464065281</v>
      </c>
      <c r="R18" s="11" t="str">
        <f t="shared" si="3"/>
        <v>Z</v>
      </c>
    </row>
    <row r="19" spans="1:18" x14ac:dyDescent="0.2">
      <c r="A19" s="11">
        <v>15</v>
      </c>
      <c r="B19" s="9" t="s">
        <v>128</v>
      </c>
      <c r="C19" s="7">
        <v>1</v>
      </c>
      <c r="D19" s="7">
        <v>1</v>
      </c>
      <c r="E19" s="7">
        <v>2</v>
      </c>
      <c r="F19" s="7">
        <v>2</v>
      </c>
      <c r="G19" s="7">
        <v>1</v>
      </c>
      <c r="H19" s="7">
        <v>1</v>
      </c>
      <c r="I19" s="7">
        <v>0</v>
      </c>
      <c r="J19" s="7">
        <v>1</v>
      </c>
      <c r="K19" s="7">
        <v>2</v>
      </c>
      <c r="L19" s="7">
        <v>2</v>
      </c>
      <c r="M19" s="7">
        <v>1</v>
      </c>
      <c r="N19" s="7">
        <v>1</v>
      </c>
      <c r="O19" s="7">
        <f t="shared" si="0"/>
        <v>1.25</v>
      </c>
      <c r="P19" s="7">
        <f t="shared" si="1"/>
        <v>0.62158156050806102</v>
      </c>
      <c r="Q19" s="8">
        <f t="shared" si="2"/>
        <v>0.49726524840644881</v>
      </c>
      <c r="R19" s="11" t="str">
        <f t="shared" si="3"/>
        <v>Z</v>
      </c>
    </row>
    <row r="21" spans="1:18" ht="17" x14ac:dyDescent="0.2">
      <c r="A21" s="19" t="s">
        <v>97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1:18" ht="26" customHeight="1" x14ac:dyDescent="0.2">
      <c r="A22" s="17" t="s">
        <v>150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8" ht="26" customHeight="1" x14ac:dyDescent="0.2">
      <c r="A23" s="17" t="s">
        <v>151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8" ht="26" customHeight="1" x14ac:dyDescent="0.2">
      <c r="A24" s="17" t="s">
        <v>152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</sheetData>
  <mergeCells count="5">
    <mergeCell ref="A22:Q22"/>
    <mergeCell ref="A21:Q21"/>
    <mergeCell ref="A24:Q24"/>
    <mergeCell ref="A2:Q2"/>
    <mergeCell ref="A23:Q23"/>
  </mergeCells>
  <conditionalFormatting sqref="Q5:Q19">
    <cfRule type="containsText" dxfId="7" priority="1" operator="containsText" text="X">
      <formula>NOT(ISERROR(SEARCH("X",Q5)))</formula>
    </cfRule>
    <cfRule type="containsText" dxfId="6" priority="2" operator="containsText" text="Y">
      <formula>NOT(ISERROR(SEARCH("Y",Q5)))</formula>
    </cfRule>
    <cfRule type="containsText" dxfId="5" priority="3" operator="containsText" text="Z">
      <formula>NOT(ISERROR(SEARCH("Z",Q5)))</formula>
    </cfRule>
  </conditionalFormatting>
  <pageMargins left="0.4" right="0.4" top="0.4" bottom="0.4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4"/>
  <sheetViews>
    <sheetView zoomScale="85" zoomScaleNormal="85" workbookViewId="0"/>
  </sheetViews>
  <sheetFormatPr baseColWidth="10" defaultColWidth="8.83203125" defaultRowHeight="15" x14ac:dyDescent="0.2"/>
  <cols>
    <col min="1" max="1" width="8.6640625" customWidth="1"/>
    <col min="2" max="2" width="38.6640625" customWidth="1"/>
    <col min="3" max="5" width="14.6640625" customWidth="1"/>
    <col min="6" max="6" width="60.6640625" customWidth="1"/>
    <col min="8" max="8" width="10.6640625" customWidth="1"/>
    <col min="9" max="9" width="80.6640625" customWidth="1"/>
  </cols>
  <sheetData>
    <row r="1" spans="1:9" ht="21" x14ac:dyDescent="0.25">
      <c r="A1" s="1" t="s">
        <v>153</v>
      </c>
    </row>
    <row r="2" spans="1:9" x14ac:dyDescent="0.2">
      <c r="A2" s="17" t="s">
        <v>154</v>
      </c>
      <c r="B2" s="18"/>
      <c r="C2" s="18"/>
      <c r="D2" s="18"/>
      <c r="E2" s="18"/>
      <c r="F2" s="18"/>
    </row>
    <row r="4" spans="1:9" ht="28" customHeight="1" x14ac:dyDescent="0.2">
      <c r="A4" s="4" t="s">
        <v>104</v>
      </c>
      <c r="B4" s="4" t="s">
        <v>105</v>
      </c>
      <c r="C4" s="4" t="s">
        <v>110</v>
      </c>
      <c r="D4" s="4" t="s">
        <v>155</v>
      </c>
      <c r="E4" s="4" t="s">
        <v>156</v>
      </c>
      <c r="F4" s="4" t="s">
        <v>157</v>
      </c>
      <c r="H4" s="4" t="s">
        <v>156</v>
      </c>
      <c r="I4" s="4" t="s">
        <v>158</v>
      </c>
    </row>
    <row r="5" spans="1:9" x14ac:dyDescent="0.2">
      <c r="A5" s="11">
        <v>1</v>
      </c>
      <c r="B5" s="9" t="s">
        <v>111</v>
      </c>
      <c r="C5" s="11" t="str">
        <f>'03_ABC_анализ'!G5</f>
        <v>A</v>
      </c>
      <c r="D5" s="11">
        <f>'04_XYZ_анализ'!Q5</f>
        <v>0.40668039581401305</v>
      </c>
      <c r="E5" s="11" t="str">
        <f t="shared" ref="E5:E19" si="0">C5&amp;D5</f>
        <v>A0.406680395814013</v>
      </c>
      <c r="F5" s="9" t="str">
        <f t="shared" ref="F5:F19" si="1">IFERROR(VLOOKUP(E5,$H$5:$I$13,2,FALSE),"-")</f>
        <v>-</v>
      </c>
      <c r="H5" s="11" t="s">
        <v>159</v>
      </c>
      <c r="I5" s="9" t="s">
        <v>160</v>
      </c>
    </row>
    <row r="6" spans="1:9" x14ac:dyDescent="0.2">
      <c r="A6" s="11">
        <v>2</v>
      </c>
      <c r="B6" s="9" t="s">
        <v>113</v>
      </c>
      <c r="C6" s="11" t="str">
        <f>'03_ABC_анализ'!G6</f>
        <v>A</v>
      </c>
      <c r="D6" s="11">
        <f>'04_XYZ_анализ'!Q6</f>
        <v>0.3245091977142609</v>
      </c>
      <c r="E6" s="11" t="str">
        <f t="shared" si="0"/>
        <v>A0.324509197714261</v>
      </c>
      <c r="F6" s="9" t="str">
        <f t="shared" si="1"/>
        <v>-</v>
      </c>
      <c r="H6" s="11" t="s">
        <v>161</v>
      </c>
      <c r="I6" s="9" t="s">
        <v>162</v>
      </c>
    </row>
    <row r="7" spans="1:9" x14ac:dyDescent="0.2">
      <c r="A7" s="11">
        <v>3</v>
      </c>
      <c r="B7" s="9" t="s">
        <v>115</v>
      </c>
      <c r="C7" s="11" t="str">
        <f>'03_ABC_анализ'!G7</f>
        <v>A</v>
      </c>
      <c r="D7" s="11">
        <f>'04_XYZ_анализ'!Q7</f>
        <v>9.1978863426627408E-2</v>
      </c>
      <c r="E7" s="11" t="str">
        <f t="shared" si="0"/>
        <v>A0.0919788634266274</v>
      </c>
      <c r="F7" s="9" t="str">
        <f t="shared" si="1"/>
        <v>-</v>
      </c>
      <c r="H7" s="11" t="s">
        <v>163</v>
      </c>
      <c r="I7" s="9" t="s">
        <v>164</v>
      </c>
    </row>
    <row r="8" spans="1:9" x14ac:dyDescent="0.2">
      <c r="A8" s="11">
        <v>4</v>
      </c>
      <c r="B8" s="9" t="s">
        <v>117</v>
      </c>
      <c r="C8" s="11" t="str">
        <f>'03_ABC_анализ'!G8</f>
        <v>A</v>
      </c>
      <c r="D8" s="11">
        <f>'04_XYZ_анализ'!Q8</f>
        <v>0.40201512610368484</v>
      </c>
      <c r="E8" s="11" t="str">
        <f t="shared" si="0"/>
        <v>A0.402015126103685</v>
      </c>
      <c r="F8" s="9" t="str">
        <f t="shared" si="1"/>
        <v>-</v>
      </c>
      <c r="H8" s="11" t="s">
        <v>165</v>
      </c>
      <c r="I8" s="9" t="s">
        <v>166</v>
      </c>
    </row>
    <row r="9" spans="1:9" x14ac:dyDescent="0.2">
      <c r="A9" s="11">
        <v>5</v>
      </c>
      <c r="B9" s="9" t="s">
        <v>118</v>
      </c>
      <c r="C9" s="11" t="str">
        <f>'03_ABC_анализ'!G9</f>
        <v>A</v>
      </c>
      <c r="D9" s="11">
        <f>'04_XYZ_анализ'!Q9</f>
        <v>0.32588926813950642</v>
      </c>
      <c r="E9" s="11" t="str">
        <f t="shared" si="0"/>
        <v>A0.325889268139506</v>
      </c>
      <c r="F9" s="9" t="str">
        <f t="shared" si="1"/>
        <v>-</v>
      </c>
      <c r="H9" s="11" t="s">
        <v>167</v>
      </c>
      <c r="I9" s="9" t="s">
        <v>168</v>
      </c>
    </row>
    <row r="10" spans="1:9" x14ac:dyDescent="0.2">
      <c r="A10" s="11">
        <v>6</v>
      </c>
      <c r="B10" s="9" t="s">
        <v>119</v>
      </c>
      <c r="C10" s="11" t="str">
        <f>'03_ABC_анализ'!G10</f>
        <v>B</v>
      </c>
      <c r="D10" s="11">
        <f>'04_XYZ_анализ'!Q10</f>
        <v>0.11974171762773543</v>
      </c>
      <c r="E10" s="11" t="str">
        <f t="shared" si="0"/>
        <v>B0.119741717627735</v>
      </c>
      <c r="F10" s="9" t="str">
        <f t="shared" si="1"/>
        <v>-</v>
      </c>
      <c r="H10" s="11" t="s">
        <v>169</v>
      </c>
      <c r="I10" s="9" t="s">
        <v>170</v>
      </c>
    </row>
    <row r="11" spans="1:9" x14ac:dyDescent="0.2">
      <c r="A11" s="11">
        <v>7</v>
      </c>
      <c r="B11" s="9" t="s">
        <v>120</v>
      </c>
      <c r="C11" s="11" t="str">
        <f>'03_ABC_анализ'!G11</f>
        <v>B</v>
      </c>
      <c r="D11" s="11">
        <f>'04_XYZ_анализ'!Q11</f>
        <v>0.39593898111663217</v>
      </c>
      <c r="E11" s="11" t="str">
        <f t="shared" si="0"/>
        <v>B0.395938981116632</v>
      </c>
      <c r="F11" s="9" t="str">
        <f t="shared" si="1"/>
        <v>-</v>
      </c>
      <c r="H11" s="11" t="s">
        <v>171</v>
      </c>
      <c r="I11" s="9" t="s">
        <v>172</v>
      </c>
    </row>
    <row r="12" spans="1:9" x14ac:dyDescent="0.2">
      <c r="A12" s="11">
        <v>8</v>
      </c>
      <c r="B12" s="9" t="s">
        <v>121</v>
      </c>
      <c r="C12" s="11" t="str">
        <f>'03_ABC_анализ'!G12</f>
        <v>B</v>
      </c>
      <c r="D12" s="11">
        <f>'04_XYZ_анализ'!Q12</f>
        <v>0.35144583874081037</v>
      </c>
      <c r="E12" s="11" t="str">
        <f t="shared" si="0"/>
        <v>B0.35144583874081</v>
      </c>
      <c r="F12" s="9" t="str">
        <f t="shared" si="1"/>
        <v>-</v>
      </c>
      <c r="H12" s="11" t="s">
        <v>173</v>
      </c>
      <c r="I12" s="9" t="s">
        <v>174</v>
      </c>
    </row>
    <row r="13" spans="1:9" x14ac:dyDescent="0.2">
      <c r="A13" s="11">
        <v>9</v>
      </c>
      <c r="B13" s="9" t="s">
        <v>122</v>
      </c>
      <c r="C13" s="11" t="str">
        <f>'03_ABC_анализ'!G13</f>
        <v>B</v>
      </c>
      <c r="D13" s="11">
        <f>'04_XYZ_анализ'!Q13</f>
        <v>0.13738216661673955</v>
      </c>
      <c r="E13" s="11" t="str">
        <f t="shared" si="0"/>
        <v>B0.13738216661674</v>
      </c>
      <c r="F13" s="9" t="str">
        <f t="shared" si="1"/>
        <v>-</v>
      </c>
      <c r="H13" s="11" t="s">
        <v>175</v>
      </c>
      <c r="I13" s="9" t="s">
        <v>176</v>
      </c>
    </row>
    <row r="14" spans="1:9" x14ac:dyDescent="0.2">
      <c r="A14" s="11">
        <v>10</v>
      </c>
      <c r="B14" s="9" t="s">
        <v>123</v>
      </c>
      <c r="C14" s="11" t="str">
        <f>'03_ABC_анализ'!G14</f>
        <v>C</v>
      </c>
      <c r="D14" s="11">
        <f>'04_XYZ_анализ'!Q14</f>
        <v>0.56863366571274954</v>
      </c>
      <c r="E14" s="11" t="str">
        <f t="shared" si="0"/>
        <v>C0.56863366571275</v>
      </c>
      <c r="F14" s="9" t="str">
        <f t="shared" si="1"/>
        <v>-</v>
      </c>
    </row>
    <row r="15" spans="1:9" x14ac:dyDescent="0.2">
      <c r="A15" s="11">
        <v>11</v>
      </c>
      <c r="B15" s="9" t="s">
        <v>124</v>
      </c>
      <c r="C15" s="11" t="str">
        <f>'03_ABC_анализ'!G15</f>
        <v>C</v>
      </c>
      <c r="D15" s="11">
        <f>'04_XYZ_анализ'!Q15</f>
        <v>0.36181361349331637</v>
      </c>
      <c r="E15" s="11" t="str">
        <f t="shared" si="0"/>
        <v>C0.361813613493316</v>
      </c>
      <c r="F15" s="9" t="str">
        <f t="shared" si="1"/>
        <v>-</v>
      </c>
    </row>
    <row r="16" spans="1:9" x14ac:dyDescent="0.2">
      <c r="A16" s="11">
        <v>12</v>
      </c>
      <c r="B16" s="9" t="s">
        <v>125</v>
      </c>
      <c r="C16" s="11" t="str">
        <f>'03_ABC_анализ'!G16</f>
        <v>C</v>
      </c>
      <c r="D16" s="11">
        <f>'04_XYZ_анализ'!Q16</f>
        <v>0.47531875434871124</v>
      </c>
      <c r="E16" s="11" t="str">
        <f t="shared" si="0"/>
        <v>C0.475318754348711</v>
      </c>
      <c r="F16" s="9" t="str">
        <f t="shared" si="1"/>
        <v>-</v>
      </c>
    </row>
    <row r="17" spans="1:6" x14ac:dyDescent="0.2">
      <c r="A17" s="11">
        <v>13</v>
      </c>
      <c r="B17" s="9" t="s">
        <v>126</v>
      </c>
      <c r="C17" s="11" t="str">
        <f>'03_ABC_анализ'!G17</f>
        <v>C</v>
      </c>
      <c r="D17" s="11">
        <f>'04_XYZ_анализ'!Q17</f>
        <v>0</v>
      </c>
      <c r="E17" s="11" t="str">
        <f t="shared" si="0"/>
        <v>C0</v>
      </c>
      <c r="F17" s="9" t="str">
        <f t="shared" si="1"/>
        <v>-</v>
      </c>
    </row>
    <row r="18" spans="1:6" x14ac:dyDescent="0.2">
      <c r="A18" s="11">
        <v>14</v>
      </c>
      <c r="B18" s="9" t="s">
        <v>127</v>
      </c>
      <c r="C18" s="11" t="str">
        <f>'03_ABC_анализ'!G18</f>
        <v>C</v>
      </c>
      <c r="D18" s="11">
        <f>'04_XYZ_анализ'!Q18</f>
        <v>0.33364240464065281</v>
      </c>
      <c r="E18" s="11" t="str">
        <f t="shared" si="0"/>
        <v>C0.333642404640653</v>
      </c>
      <c r="F18" s="9" t="str">
        <f t="shared" si="1"/>
        <v>-</v>
      </c>
    </row>
    <row r="19" spans="1:6" x14ac:dyDescent="0.2">
      <c r="A19" s="11">
        <v>15</v>
      </c>
      <c r="B19" s="9" t="s">
        <v>128</v>
      </c>
      <c r="C19" s="11" t="str">
        <f>'03_ABC_анализ'!G19</f>
        <v>C</v>
      </c>
      <c r="D19" s="11">
        <f>'04_XYZ_анализ'!Q19</f>
        <v>0.49726524840644881</v>
      </c>
      <c r="E19" s="11" t="str">
        <f t="shared" si="0"/>
        <v>C0.497265248406449</v>
      </c>
      <c r="F19" s="9" t="str">
        <f t="shared" si="1"/>
        <v>-</v>
      </c>
    </row>
    <row r="21" spans="1:6" ht="17" x14ac:dyDescent="0.2">
      <c r="A21" s="19" t="s">
        <v>177</v>
      </c>
      <c r="B21" s="20"/>
      <c r="C21" s="20"/>
      <c r="D21" s="20"/>
      <c r="E21" s="20"/>
      <c r="F21" s="21"/>
    </row>
    <row r="22" spans="1:6" ht="26" customHeight="1" x14ac:dyDescent="0.2">
      <c r="A22" s="17" t="s">
        <v>178</v>
      </c>
      <c r="B22" s="18"/>
      <c r="C22" s="18"/>
      <c r="D22" s="18"/>
      <c r="E22" s="18"/>
      <c r="F22" s="18"/>
    </row>
    <row r="23" spans="1:6" ht="26" customHeight="1" x14ac:dyDescent="0.2">
      <c r="A23" s="17" t="s">
        <v>179</v>
      </c>
      <c r="B23" s="18"/>
      <c r="C23" s="18"/>
      <c r="D23" s="18"/>
      <c r="E23" s="18"/>
      <c r="F23" s="18"/>
    </row>
    <row r="24" spans="1:6" ht="26" customHeight="1" x14ac:dyDescent="0.2">
      <c r="A24" s="17" t="s">
        <v>180</v>
      </c>
      <c r="B24" s="18"/>
      <c r="C24" s="18"/>
      <c r="D24" s="18"/>
      <c r="E24" s="18"/>
      <c r="F24" s="18"/>
    </row>
  </sheetData>
  <mergeCells count="5">
    <mergeCell ref="A24:F24"/>
    <mergeCell ref="A2:F2"/>
    <mergeCell ref="A23:F23"/>
    <mergeCell ref="A22:F22"/>
    <mergeCell ref="A21:F21"/>
  </mergeCells>
  <conditionalFormatting sqref="E5:E19">
    <cfRule type="containsText" dxfId="4" priority="1" operator="containsText" text="AX">
      <formula>NOT(ISERROR(SEARCH("AX",E5)))</formula>
    </cfRule>
    <cfRule type="containsText" dxfId="3" priority="2" operator="containsText" text="CZ">
      <formula>NOT(ISERROR(SEARCH("CZ",E5)))</formula>
    </cfRule>
  </conditionalFormatting>
  <pageMargins left="0.4" right="0.4" top="0.4" bottom="0.4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3"/>
  <sheetViews>
    <sheetView zoomScale="132" zoomScaleNormal="85" workbookViewId="0">
      <selection activeCell="H4" sqref="H4"/>
    </sheetView>
  </sheetViews>
  <sheetFormatPr baseColWidth="10" defaultColWidth="8.83203125" defaultRowHeight="15" x14ac:dyDescent="0.2"/>
  <cols>
    <col min="1" max="1" width="38.6640625" customWidth="1"/>
    <col min="2" max="9" width="16.6640625" customWidth="1"/>
  </cols>
  <sheetData>
    <row r="1" spans="1:9" ht="21" x14ac:dyDescent="0.25">
      <c r="A1" s="1" t="s">
        <v>181</v>
      </c>
    </row>
    <row r="2" spans="1:9" x14ac:dyDescent="0.2">
      <c r="A2" s="17" t="s">
        <v>182</v>
      </c>
      <c r="B2" s="18"/>
      <c r="C2" s="18"/>
      <c r="D2" s="18"/>
      <c r="E2" s="18"/>
      <c r="F2" s="18"/>
      <c r="G2" s="18"/>
      <c r="H2" s="18"/>
      <c r="I2" s="18"/>
    </row>
    <row r="4" spans="1:9" ht="36" customHeight="1" x14ac:dyDescent="0.2">
      <c r="A4" s="4" t="s">
        <v>105</v>
      </c>
      <c r="B4" s="4" t="s">
        <v>183</v>
      </c>
      <c r="C4" s="4" t="s">
        <v>184</v>
      </c>
      <c r="D4" s="4" t="s">
        <v>185</v>
      </c>
      <c r="E4" s="4" t="s">
        <v>186</v>
      </c>
      <c r="F4" s="4" t="s">
        <v>187</v>
      </c>
      <c r="G4" s="4" t="s">
        <v>188</v>
      </c>
      <c r="H4" s="4" t="s">
        <v>189</v>
      </c>
      <c r="I4" s="4" t="s">
        <v>190</v>
      </c>
    </row>
    <row r="5" spans="1:9" x14ac:dyDescent="0.2">
      <c r="A5" s="9" t="s">
        <v>191</v>
      </c>
      <c r="B5" s="12">
        <v>420000</v>
      </c>
      <c r="C5" s="12">
        <v>280000</v>
      </c>
      <c r="D5" s="15">
        <f>B5-C5</f>
        <v>140000</v>
      </c>
      <c r="E5" s="8">
        <f>D5/B5</f>
        <v>0.33333333333333331</v>
      </c>
      <c r="F5" s="6">
        <v>44</v>
      </c>
      <c r="G5" s="12">
        <f t="shared" ref="G5:G10" si="0">B5*F5</f>
        <v>18480000</v>
      </c>
      <c r="H5" s="15">
        <f t="shared" ref="H5:H10" si="1">D5*F5</f>
        <v>6160000</v>
      </c>
      <c r="I5" s="12">
        <f t="shared" ref="I5:I10" si="2">D5*(1-0.18)</f>
        <v>114800.00000000001</v>
      </c>
    </row>
    <row r="6" spans="1:9" x14ac:dyDescent="0.2">
      <c r="A6" s="9" t="s">
        <v>192</v>
      </c>
      <c r="B6" s="12">
        <v>32</v>
      </c>
      <c r="C6" s="12">
        <v>19</v>
      </c>
      <c r="D6" s="15">
        <f t="shared" ref="D5:D10" si="3">B6-C6</f>
        <v>13</v>
      </c>
      <c r="E6" s="8">
        <f t="shared" ref="E5:E10" si="4">D6/B6</f>
        <v>0.40625</v>
      </c>
      <c r="F6" s="6">
        <v>44000</v>
      </c>
      <c r="G6" s="12">
        <f t="shared" si="0"/>
        <v>1408000</v>
      </c>
      <c r="H6" s="15">
        <f t="shared" si="1"/>
        <v>572000</v>
      </c>
      <c r="I6" s="12">
        <f t="shared" si="2"/>
        <v>10.66</v>
      </c>
    </row>
    <row r="7" spans="1:9" x14ac:dyDescent="0.2">
      <c r="A7" s="9" t="s">
        <v>193</v>
      </c>
      <c r="B7" s="12">
        <v>720</v>
      </c>
      <c r="C7" s="12">
        <v>520</v>
      </c>
      <c r="D7" s="15">
        <f t="shared" si="3"/>
        <v>200</v>
      </c>
      <c r="E7" s="8">
        <f t="shared" si="4"/>
        <v>0.27777777777777779</v>
      </c>
      <c r="F7" s="6">
        <v>16400</v>
      </c>
      <c r="G7" s="12">
        <f t="shared" si="0"/>
        <v>11808000</v>
      </c>
      <c r="H7" s="15">
        <f t="shared" si="1"/>
        <v>3280000</v>
      </c>
      <c r="I7" s="12">
        <f t="shared" si="2"/>
        <v>164</v>
      </c>
    </row>
    <row r="8" spans="1:9" x14ac:dyDescent="0.2">
      <c r="A8" s="9" t="s">
        <v>194</v>
      </c>
      <c r="B8" s="12">
        <v>210000</v>
      </c>
      <c r="C8" s="12">
        <v>145000</v>
      </c>
      <c r="D8" s="15">
        <f t="shared" si="3"/>
        <v>65000</v>
      </c>
      <c r="E8" s="8">
        <f t="shared" si="4"/>
        <v>0.30952380952380953</v>
      </c>
      <c r="F8" s="6">
        <v>44</v>
      </c>
      <c r="G8" s="12">
        <f t="shared" si="0"/>
        <v>9240000</v>
      </c>
      <c r="H8" s="15">
        <f t="shared" si="1"/>
        <v>2860000</v>
      </c>
      <c r="I8" s="12">
        <f t="shared" si="2"/>
        <v>53300.000000000007</v>
      </c>
    </row>
    <row r="9" spans="1:9" x14ac:dyDescent="0.2">
      <c r="A9" s="9" t="s">
        <v>195</v>
      </c>
      <c r="B9" s="12">
        <v>48</v>
      </c>
      <c r="C9" s="12">
        <v>30</v>
      </c>
      <c r="D9" s="15">
        <f t="shared" si="3"/>
        <v>18</v>
      </c>
      <c r="E9" s="8">
        <f t="shared" si="4"/>
        <v>0.375</v>
      </c>
      <c r="F9" s="6">
        <v>15400</v>
      </c>
      <c r="G9" s="12">
        <f t="shared" si="0"/>
        <v>739200</v>
      </c>
      <c r="H9" s="15">
        <f t="shared" si="1"/>
        <v>277200</v>
      </c>
      <c r="I9" s="12">
        <f t="shared" si="2"/>
        <v>14.760000000000002</v>
      </c>
    </row>
    <row r="10" spans="1:9" x14ac:dyDescent="0.2">
      <c r="A10" s="9" t="s">
        <v>196</v>
      </c>
      <c r="B10" s="12">
        <v>950</v>
      </c>
      <c r="C10" s="12">
        <v>640</v>
      </c>
      <c r="D10" s="15">
        <f t="shared" si="3"/>
        <v>310</v>
      </c>
      <c r="E10" s="8">
        <f t="shared" si="4"/>
        <v>0.32631578947368423</v>
      </c>
      <c r="F10" s="6">
        <v>2840</v>
      </c>
      <c r="G10" s="12">
        <f t="shared" si="0"/>
        <v>2698000</v>
      </c>
      <c r="H10" s="15">
        <f t="shared" si="1"/>
        <v>880400</v>
      </c>
      <c r="I10" s="12">
        <f t="shared" si="2"/>
        <v>254.20000000000002</v>
      </c>
    </row>
    <row r="11" spans="1:9" x14ac:dyDescent="0.2">
      <c r="A11" s="5" t="s">
        <v>197</v>
      </c>
      <c r="G11" s="14">
        <f>SUM(G5:G10)</f>
        <v>44373200</v>
      </c>
      <c r="H11" s="14">
        <f>SUM(H5:H10)</f>
        <v>14029600</v>
      </c>
    </row>
    <row r="13" spans="1:9" ht="17" x14ac:dyDescent="0.2">
      <c r="A13" s="19" t="s">
        <v>198</v>
      </c>
      <c r="B13" s="20"/>
      <c r="C13" s="20"/>
      <c r="D13" s="20"/>
      <c r="E13" s="20"/>
      <c r="F13" s="20"/>
      <c r="G13" s="20"/>
      <c r="H13" s="20"/>
      <c r="I13" s="21"/>
    </row>
    <row r="14" spans="1:9" x14ac:dyDescent="0.2">
      <c r="A14" s="5" t="s">
        <v>199</v>
      </c>
      <c r="B14" s="12">
        <v>18000000</v>
      </c>
    </row>
    <row r="15" spans="1:9" x14ac:dyDescent="0.2">
      <c r="A15" s="5" t="s">
        <v>200</v>
      </c>
      <c r="B15" s="7">
        <f>SUM(I5:I10)/6</f>
        <v>28090.603333333343</v>
      </c>
    </row>
    <row r="16" spans="1:9" x14ac:dyDescent="0.2">
      <c r="A16" s="5" t="s">
        <v>201</v>
      </c>
      <c r="B16" s="6">
        <f>B14/B15</f>
        <v>640.78367368637248</v>
      </c>
    </row>
    <row r="17" spans="1:9" x14ac:dyDescent="0.2">
      <c r="A17" s="5" t="s">
        <v>202</v>
      </c>
      <c r="B17" s="16">
        <f>SUM(F5:F10)</f>
        <v>78728</v>
      </c>
    </row>
    <row r="18" spans="1:9" x14ac:dyDescent="0.2">
      <c r="A18" s="5" t="s">
        <v>203</v>
      </c>
      <c r="B18" s="10">
        <f>(B17-B16)/B17</f>
        <v>0.99186079065025956</v>
      </c>
    </row>
    <row r="20" spans="1:9" ht="17" x14ac:dyDescent="0.2">
      <c r="A20" s="19" t="s">
        <v>204</v>
      </c>
      <c r="B20" s="20"/>
      <c r="C20" s="20"/>
      <c r="D20" s="20"/>
      <c r="E20" s="20"/>
      <c r="F20" s="20"/>
      <c r="G20" s="20"/>
      <c r="H20" s="20"/>
      <c r="I20" s="21"/>
    </row>
    <row r="21" spans="1:9" ht="26" customHeight="1" x14ac:dyDescent="0.2">
      <c r="A21" s="17" t="s">
        <v>205</v>
      </c>
      <c r="B21" s="18"/>
      <c r="C21" s="18"/>
      <c r="D21" s="18"/>
      <c r="E21" s="18"/>
      <c r="F21" s="18"/>
      <c r="G21" s="18"/>
      <c r="H21" s="18"/>
      <c r="I21" s="18"/>
    </row>
    <row r="22" spans="1:9" ht="26" customHeight="1" x14ac:dyDescent="0.2">
      <c r="A22" s="17" t="s">
        <v>206</v>
      </c>
      <c r="B22" s="18"/>
      <c r="C22" s="18"/>
      <c r="D22" s="18"/>
      <c r="E22" s="18"/>
      <c r="F22" s="18"/>
      <c r="G22" s="18"/>
      <c r="H22" s="18"/>
      <c r="I22" s="18"/>
    </row>
    <row r="23" spans="1:9" ht="26" customHeight="1" x14ac:dyDescent="0.2">
      <c r="A23" s="17" t="s">
        <v>207</v>
      </c>
      <c r="B23" s="18"/>
      <c r="C23" s="18"/>
      <c r="D23" s="18"/>
      <c r="E23" s="18"/>
      <c r="F23" s="18"/>
      <c r="G23" s="18"/>
      <c r="H23" s="18"/>
      <c r="I23" s="18"/>
    </row>
  </sheetData>
  <mergeCells count="6">
    <mergeCell ref="A2:I2"/>
    <mergeCell ref="A13:I13"/>
    <mergeCell ref="A23:I23"/>
    <mergeCell ref="A22:I22"/>
    <mergeCell ref="A20:I20"/>
    <mergeCell ref="A21:I21"/>
  </mergeCells>
  <pageMargins left="0.4" right="0.4" top="0.4" bottom="0.4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44"/>
  <sheetViews>
    <sheetView tabSelected="1" topLeftCell="A2" zoomScale="150" zoomScaleNormal="85" workbookViewId="0">
      <selection activeCell="C18" sqref="C18"/>
    </sheetView>
  </sheetViews>
  <sheetFormatPr baseColWidth="10" defaultColWidth="8.83203125" defaultRowHeight="15" x14ac:dyDescent="0.2"/>
  <cols>
    <col min="1" max="1" width="40.6640625" customWidth="1"/>
    <col min="2" max="7" width="16.6640625" customWidth="1"/>
  </cols>
  <sheetData>
    <row r="1" spans="1:7" ht="21" x14ac:dyDescent="0.25">
      <c r="A1" s="1" t="s">
        <v>208</v>
      </c>
    </row>
    <row r="2" spans="1:7" x14ac:dyDescent="0.2">
      <c r="A2" s="17" t="s">
        <v>209</v>
      </c>
      <c r="B2" s="18"/>
      <c r="C2" s="18"/>
      <c r="D2" s="18"/>
      <c r="E2" s="18"/>
      <c r="F2" s="18"/>
      <c r="G2" s="18"/>
    </row>
    <row r="4" spans="1:7" x14ac:dyDescent="0.2">
      <c r="A4" s="3" t="s">
        <v>210</v>
      </c>
    </row>
    <row r="5" spans="1:7" x14ac:dyDescent="0.2">
      <c r="A5" s="9" t="s">
        <v>211</v>
      </c>
      <c r="B5" s="15">
        <v>4500000</v>
      </c>
    </row>
    <row r="6" spans="1:7" x14ac:dyDescent="0.2">
      <c r="A6" s="9" t="s">
        <v>212</v>
      </c>
      <c r="B6" s="15">
        <v>5900</v>
      </c>
    </row>
    <row r="7" spans="1:7" x14ac:dyDescent="0.2">
      <c r="A7" s="9" t="s">
        <v>213</v>
      </c>
      <c r="B7" s="15">
        <v>3600</v>
      </c>
    </row>
    <row r="8" spans="1:7" x14ac:dyDescent="0.2">
      <c r="A8" s="9" t="s">
        <v>214</v>
      </c>
      <c r="B8" s="15">
        <v>12000</v>
      </c>
    </row>
    <row r="9" spans="1:7" x14ac:dyDescent="0.2">
      <c r="A9" s="9" t="s">
        <v>215</v>
      </c>
      <c r="B9" s="8">
        <v>0.3</v>
      </c>
    </row>
    <row r="10" spans="1:7" x14ac:dyDescent="0.2">
      <c r="A10" s="9" t="s">
        <v>216</v>
      </c>
      <c r="B10" s="15">
        <v>1200000</v>
      </c>
    </row>
    <row r="11" spans="1:7" x14ac:dyDescent="0.2">
      <c r="A11" s="9" t="s">
        <v>217</v>
      </c>
      <c r="B11" s="8">
        <v>0.18</v>
      </c>
    </row>
    <row r="12" spans="1:7" x14ac:dyDescent="0.2">
      <c r="A12" s="9" t="s">
        <v>218</v>
      </c>
      <c r="B12" s="15">
        <v>5</v>
      </c>
    </row>
    <row r="15" spans="1:7" ht="17" x14ac:dyDescent="0.2">
      <c r="A15" s="19" t="s">
        <v>219</v>
      </c>
      <c r="B15" s="20"/>
      <c r="C15" s="20"/>
      <c r="D15" s="20"/>
      <c r="E15" s="20"/>
      <c r="F15" s="20"/>
      <c r="G15" s="21"/>
    </row>
    <row r="16" spans="1:7" ht="28" customHeight="1" x14ac:dyDescent="0.2">
      <c r="A16" s="4" t="s">
        <v>220</v>
      </c>
      <c r="B16" s="4" t="s">
        <v>221</v>
      </c>
      <c r="C16" s="4" t="s">
        <v>222</v>
      </c>
      <c r="D16" s="4" t="s">
        <v>223</v>
      </c>
      <c r="E16" s="4" t="s">
        <v>224</v>
      </c>
      <c r="F16" s="4" t="s">
        <v>225</v>
      </c>
      <c r="G16" s="4" t="s">
        <v>70</v>
      </c>
    </row>
    <row r="17" spans="1:7" x14ac:dyDescent="0.2">
      <c r="A17" s="9" t="s">
        <v>226</v>
      </c>
      <c r="B17" s="6">
        <f>B8</f>
        <v>12000</v>
      </c>
      <c r="C17" s="6">
        <f>B17*(1+$B$8)</f>
        <v>144012000</v>
      </c>
      <c r="D17" s="6">
        <f>C17*(1+$B$8)</f>
        <v>1728288012000</v>
      </c>
      <c r="E17" s="6">
        <f>D17*(1+$B$8)</f>
        <v>2.0741184432012E+16</v>
      </c>
      <c r="F17" s="6">
        <f>E17*(1+$B$8)</f>
        <v>2.48914954368576E+20</v>
      </c>
      <c r="G17" s="16">
        <f>SUM(B17:F17)</f>
        <v>2.4893569728144006E+20</v>
      </c>
    </row>
    <row r="18" spans="1:7" x14ac:dyDescent="0.2">
      <c r="A18" s="9" t="s">
        <v>107</v>
      </c>
      <c r="B18" s="12">
        <f>B17*$B$5</f>
        <v>54000000000</v>
      </c>
      <c r="C18" s="12">
        <f>C17*$B$5</f>
        <v>648054000000000</v>
      </c>
      <c r="D18" s="12">
        <f>D17*$B$5</f>
        <v>7.777296054E+18</v>
      </c>
      <c r="E18" s="12">
        <f>E17*$B$5</f>
        <v>9.3335329944053993E+22</v>
      </c>
      <c r="F18" s="12">
        <f>F17*$B$5</f>
        <v>1.1201172946585919E+27</v>
      </c>
      <c r="G18" s="14">
        <f>SUM(B18:F18)</f>
        <v>1.1202106377664802E+27</v>
      </c>
    </row>
    <row r="19" spans="1:7" x14ac:dyDescent="0.2">
      <c r="A19" s="9" t="s">
        <v>227</v>
      </c>
      <c r="B19" s="12">
        <f>-B17*$B$6</f>
        <v>-70800000</v>
      </c>
      <c r="C19" s="12">
        <f>-C17*$B$6</f>
        <v>-849670800000</v>
      </c>
      <c r="D19" s="12">
        <f>-D17*$B$6</f>
        <v>-1.01968992708E+16</v>
      </c>
      <c r="E19" s="12">
        <f>-E17*$B$6</f>
        <v>-1.2237298814887081E+20</v>
      </c>
      <c r="F19" s="12">
        <f>-F17*$B$6</f>
        <v>-1.4685982307745985E+24</v>
      </c>
      <c r="G19" s="14">
        <f>SUM(B19:F19)</f>
        <v>-1.4687206139604963E+24</v>
      </c>
    </row>
    <row r="20" spans="1:7" x14ac:dyDescent="0.2">
      <c r="A20" s="9" t="s">
        <v>228</v>
      </c>
      <c r="B20" s="12">
        <f>-$B$9</f>
        <v>-0.3</v>
      </c>
      <c r="C20" s="12">
        <f>-$B$9</f>
        <v>-0.3</v>
      </c>
      <c r="D20" s="12">
        <f>-$B$9</f>
        <v>-0.3</v>
      </c>
      <c r="E20" s="12">
        <f>-$B$9</f>
        <v>-0.3</v>
      </c>
      <c r="F20" s="12">
        <f>-$B$9</f>
        <v>-0.3</v>
      </c>
      <c r="G20" s="14">
        <f>SUM(B20:F20)</f>
        <v>-1.5</v>
      </c>
    </row>
    <row r="21" spans="1:7" x14ac:dyDescent="0.2">
      <c r="A21" s="5" t="s">
        <v>229</v>
      </c>
      <c r="B21" s="15">
        <f>B18+B19+B20</f>
        <v>53929199999.699997</v>
      </c>
      <c r="C21" s="15">
        <f>C18+C19+C20</f>
        <v>647204329199999.75</v>
      </c>
      <c r="D21" s="15">
        <f>D18+D19+D20</f>
        <v>7.7670991547291996E+18</v>
      </c>
      <c r="E21" s="15">
        <f>E18+E19+E20</f>
        <v>9.3212956955905115E+22</v>
      </c>
      <c r="F21" s="15">
        <f>F18+F19+F20</f>
        <v>1.1186486964278173E+27</v>
      </c>
      <c r="G21" s="14">
        <f>SUM(B21:F21)</f>
        <v>1.1187419171525197E+27</v>
      </c>
    </row>
    <row r="22" spans="1:7" x14ac:dyDescent="0.2">
      <c r="A22" s="9" t="s">
        <v>230</v>
      </c>
      <c r="B22" s="12">
        <f>-$B$4</f>
        <v>0</v>
      </c>
    </row>
    <row r="23" spans="1:7" x14ac:dyDescent="0.2">
      <c r="A23" s="5" t="s">
        <v>231</v>
      </c>
      <c r="B23" s="15">
        <f>B21+B22</f>
        <v>53929199999.699997</v>
      </c>
      <c r="C23" s="15">
        <f>C21</f>
        <v>647204329199999.75</v>
      </c>
      <c r="D23" s="15">
        <f>D21</f>
        <v>7.7670991547291996E+18</v>
      </c>
      <c r="E23" s="15">
        <f>E21</f>
        <v>9.3212956955905115E+22</v>
      </c>
      <c r="F23" s="15">
        <f>F21</f>
        <v>1.1186486964278173E+27</v>
      </c>
      <c r="G23" s="14">
        <f>SUM(B23:F23)</f>
        <v>1.1187419171525197E+27</v>
      </c>
    </row>
    <row r="24" spans="1:7" x14ac:dyDescent="0.2">
      <c r="A24" s="5" t="s">
        <v>232</v>
      </c>
      <c r="B24" s="15">
        <f>B23</f>
        <v>53929199999.699997</v>
      </c>
      <c r="C24" s="15">
        <f>B24+C23</f>
        <v>647258258399999.5</v>
      </c>
      <c r="D24" s="15">
        <f>C24+D23</f>
        <v>7.7677464129875999E+18</v>
      </c>
      <c r="E24" s="15">
        <f>D24+E23</f>
        <v>9.3220724702318095E+22</v>
      </c>
      <c r="F24" s="15">
        <f>E24+F23</f>
        <v>1.1187419171525197E+27</v>
      </c>
    </row>
    <row r="26" spans="1:7" ht="17" x14ac:dyDescent="0.2">
      <c r="A26" s="19" t="s">
        <v>233</v>
      </c>
      <c r="B26" s="20"/>
      <c r="C26" s="20"/>
      <c r="D26" s="20"/>
      <c r="E26" s="20"/>
      <c r="F26" s="20"/>
      <c r="G26" s="21"/>
    </row>
    <row r="27" spans="1:7" x14ac:dyDescent="0.2">
      <c r="A27" s="5" t="s">
        <v>234</v>
      </c>
      <c r="B27" s="15">
        <f>B22+NPV($B$10,C23:F23)</f>
        <v>544784783.43924272</v>
      </c>
    </row>
    <row r="28" spans="1:7" x14ac:dyDescent="0.2">
      <c r="A28" s="5" t="s">
        <v>235</v>
      </c>
      <c r="B28" s="8" t="e">
        <f>IRR(B23:F23)</f>
        <v>#NUM!</v>
      </c>
    </row>
    <row r="29" spans="1:7" x14ac:dyDescent="0.2">
      <c r="A29" s="5" t="s">
        <v>236</v>
      </c>
      <c r="B29" s="11" t="str">
        <f>IFERROR(MATCH(TRUE,B24:F24&gt;=0,0),"н/д")</f>
        <v>н/д</v>
      </c>
    </row>
    <row r="30" spans="1:7" x14ac:dyDescent="0.2">
      <c r="A30" s="5" t="s">
        <v>237</v>
      </c>
      <c r="B30" s="8" t="e">
        <f>SUM(B23:F23)/(-B22)</f>
        <v>#DIV/0!</v>
      </c>
    </row>
    <row r="32" spans="1:7" ht="17" x14ac:dyDescent="0.2">
      <c r="A32" s="19" t="s">
        <v>238</v>
      </c>
      <c r="B32" s="20"/>
      <c r="C32" s="20"/>
      <c r="D32" s="20"/>
      <c r="E32" s="20"/>
      <c r="F32" s="20"/>
      <c r="G32" s="21"/>
    </row>
    <row r="33" spans="1:7" x14ac:dyDescent="0.2">
      <c r="A33" s="5" t="s">
        <v>239</v>
      </c>
      <c r="B33" s="6">
        <v>8000</v>
      </c>
      <c r="C33" s="6">
        <v>10000</v>
      </c>
      <c r="D33" s="6">
        <v>12000</v>
      </c>
      <c r="E33" s="6">
        <v>14000</v>
      </c>
      <c r="F33" s="6">
        <v>16000</v>
      </c>
    </row>
    <row r="34" spans="1:7" x14ac:dyDescent="0.2">
      <c r="A34" s="12">
        <v>4900</v>
      </c>
      <c r="B34" s="12">
        <f>-$B$4 + (((8000*(1+$B$8)^(0))*(4900-$B$6) - $B$9))/((1+$B$10)^1) + (((8000*(1+$B$8)^(1))*(4900-$B$6) - $B$9))/((1+$B$10)^2) + (((8000*(1+$B$8)^(2))*(4900-$B$6) - $B$9))/((1+$B$10)^3) + (((8000*(1+$B$8)^(3))*(4900-$B$6) - $B$9))/((1+$B$10)^4) + (((8000*(1+$B$8)^(4))*(4900-$B$6) - $B$9))/((1+$B$10)^5)</f>
        <v>-6.7340069833330558</v>
      </c>
      <c r="C34" s="12">
        <f>-$B$4 + (((10000*(1+$B$8)^(0))*(4900-$B$6) - $B$9))/((1+$B$10)^1) + (((10000*(1+$B$8)^(1))*(4900-$B$6) - $B$9))/((1+$B$10)^2) + (((10000*(1+$B$8)^(2))*(4900-$B$6) - $B$9))/((1+$B$10)^3) + (((10000*(1+$B$8)^(3))*(4900-$B$6) - $B$9))/((1+$B$10)^4) + (((10000*(1+$B$8)^(4))*(4900-$B$6) - $B$9))/((1+$B$10)^5)</f>
        <v>-8.4175086666663201</v>
      </c>
      <c r="D34" s="12">
        <f>-$B$4 + (((12000*(1+$B$8)^(0))*(4900-$B$6) - $B$9))/((1+$B$10)^1) + (((12000*(1+$B$8)^(1))*(4900-$B$6) - $B$9))/((1+$B$10)^2) + (((12000*(1+$B$8)^(2))*(4900-$B$6) - $B$9))/((1+$B$10)^3) + (((12000*(1+$B$8)^(3))*(4900-$B$6) - $B$9))/((1+$B$10)^4) + (((12000*(1+$B$8)^(4))*(4900-$B$6) - $B$9))/((1+$B$10)^5)</f>
        <v>-10.101010349999585</v>
      </c>
      <c r="E34" s="12">
        <f>-$B$4 + (((14000*(1+$B$8)^(0))*(4900-$B$6) - $B$9))/((1+$B$10)^1) + (((14000*(1+$B$8)^(1))*(4900-$B$6) - $B$9))/((1+$B$10)^2) + (((14000*(1+$B$8)^(2))*(4900-$B$6) - $B$9))/((1+$B$10)^3) + (((14000*(1+$B$8)^(3))*(4900-$B$6) - $B$9))/((1+$B$10)^4) + (((14000*(1+$B$8)^(4))*(4900-$B$6) - $B$9))/((1+$B$10)^5)</f>
        <v>-11.784512033332849</v>
      </c>
      <c r="F34" s="12">
        <f>-$B$4 + (((16000*(1+$B$8)^(0))*(4900-$B$6) - $B$9))/((1+$B$10)^1) + (((16000*(1+$B$8)^(1))*(4900-$B$6) - $B$9))/((1+$B$10)^2) + (((16000*(1+$B$8)^(2))*(4900-$B$6) - $B$9))/((1+$B$10)^3) + (((16000*(1+$B$8)^(3))*(4900-$B$6) - $B$9))/((1+$B$10)^4) + (((16000*(1+$B$8)^(4))*(4900-$B$6) - $B$9))/((1+$B$10)^5)</f>
        <v>-13.468013716666112</v>
      </c>
    </row>
    <row r="35" spans="1:7" x14ac:dyDescent="0.2">
      <c r="A35" s="12">
        <v>5400</v>
      </c>
      <c r="B35" s="12">
        <f>-$B$4 + (((8000*(1+$B$8)^(0))*(5400-$B$6) - $B$9))/((1+$B$10)^1) + (((8000*(1+$B$8)^(1))*(5400-$B$6) - $B$9))/((1+$B$10)^2) + (((8000*(1+$B$8)^(2))*(5400-$B$6) - $B$9))/((1+$B$10)^3) + (((8000*(1+$B$8)^(3))*(5400-$B$6) - $B$9))/((1+$B$10)^4) + (((8000*(1+$B$8)^(4))*(5400-$B$6) - $B$9))/((1+$B$10)^5)</f>
        <v>-3.367003616666528</v>
      </c>
      <c r="C35" s="12">
        <f>-$B$4 + (((10000*(1+$B$8)^(0))*(5400-$B$6) - $B$9))/((1+$B$10)^1) + (((10000*(1+$B$8)^(1))*(5400-$B$6) - $B$9))/((1+$B$10)^2) + (((10000*(1+$B$8)^(2))*(5400-$B$6) - $B$9))/((1+$B$10)^3) + (((10000*(1+$B$8)^(3))*(5400-$B$6) - $B$9))/((1+$B$10)^4) + (((10000*(1+$B$8)^(4))*(5400-$B$6) - $B$9))/((1+$B$10)^5)</f>
        <v>-4.2087544583331598</v>
      </c>
      <c r="D35" s="12">
        <f>-$B$4 + (((12000*(1+$B$8)^(0))*(5400-$B$6) - $B$9))/((1+$B$10)^1) + (((12000*(1+$B$8)^(1))*(5400-$B$6) - $B$9))/((1+$B$10)^2) + (((12000*(1+$B$8)^(2))*(5400-$B$6) - $B$9))/((1+$B$10)^3) + (((12000*(1+$B$8)^(3))*(5400-$B$6) - $B$9))/((1+$B$10)^4) + (((12000*(1+$B$8)^(4))*(5400-$B$6) - $B$9))/((1+$B$10)^5)</f>
        <v>-5.0505052999997924</v>
      </c>
      <c r="E35" s="12">
        <f>-$B$4 + (((14000*(1+$B$8)^(0))*(5400-$B$6) - $B$9))/((1+$B$10)^1) + (((14000*(1+$B$8)^(1))*(5400-$B$6) - $B$9))/((1+$B$10)^2) + (((14000*(1+$B$8)^(2))*(5400-$B$6) - $B$9))/((1+$B$10)^3) + (((14000*(1+$B$8)^(3))*(5400-$B$6) - $B$9))/((1+$B$10)^4) + (((14000*(1+$B$8)^(4))*(5400-$B$6) - $B$9))/((1+$B$10)^5)</f>
        <v>-5.8922561416664232</v>
      </c>
      <c r="F35" s="12">
        <f>-$B$4 + (((16000*(1+$B$8)^(0))*(5400-$B$6) - $B$9))/((1+$B$10)^1) + (((16000*(1+$B$8)^(1))*(5400-$B$6) - $B$9))/((1+$B$10)^2) + (((16000*(1+$B$8)^(2))*(5400-$B$6) - $B$9))/((1+$B$10)^3) + (((16000*(1+$B$8)^(3))*(5400-$B$6) - $B$9))/((1+$B$10)^4) + (((16000*(1+$B$8)^(4))*(5400-$B$6) - $B$9))/((1+$B$10)^5)</f>
        <v>-6.7340069833330558</v>
      </c>
    </row>
    <row r="36" spans="1:7" x14ac:dyDescent="0.2">
      <c r="A36" s="12">
        <v>5900</v>
      </c>
      <c r="B36" s="12">
        <f>-$B$4 + (((8000*(1+$B$8)^(0))*(5900-$B$6) - $B$9))/((1+$B$10)^1) + (((8000*(1+$B$8)^(1))*(5900-$B$6) - $B$9))/((1+$B$10)^2) + (((8000*(1+$B$8)^(2))*(5900-$B$6) - $B$9))/((1+$B$10)^3) + (((8000*(1+$B$8)^(3))*(5900-$B$6) - $B$9))/((1+$B$10)^4) + (((8000*(1+$B$8)^(4))*(5900-$B$6) - $B$9))/((1+$B$10)^5)</f>
        <v>-2.4999999999999999E-7</v>
      </c>
      <c r="C36" s="12">
        <f>-$B$4 + (((10000*(1+$B$8)^(0))*(5900-$B$6) - $B$9))/((1+$B$10)^1) + (((10000*(1+$B$8)^(1))*(5900-$B$6) - $B$9))/((1+$B$10)^2) + (((10000*(1+$B$8)^(2))*(5900-$B$6) - $B$9))/((1+$B$10)^3) + (((10000*(1+$B$8)^(3))*(5900-$B$6) - $B$9))/((1+$B$10)^4) + (((10000*(1+$B$8)^(4))*(5900-$B$6) - $B$9))/((1+$B$10)^5)</f>
        <v>-2.4999999999999999E-7</v>
      </c>
      <c r="D36" s="12">
        <f>-$B$4 + (((12000*(1+$B$8)^(0))*(5900-$B$6) - $B$9))/((1+$B$10)^1) + (((12000*(1+$B$8)^(1))*(5900-$B$6) - $B$9))/((1+$B$10)^2) + (((12000*(1+$B$8)^(2))*(5900-$B$6) - $B$9))/((1+$B$10)^3) + (((12000*(1+$B$8)^(3))*(5900-$B$6) - $B$9))/((1+$B$10)^4) + (((12000*(1+$B$8)^(4))*(5900-$B$6) - $B$9))/((1+$B$10)^5)</f>
        <v>-2.4999999999999999E-7</v>
      </c>
      <c r="E36" s="12">
        <f>-$B$4 + (((14000*(1+$B$8)^(0))*(5900-$B$6) - $B$9))/((1+$B$10)^1) + (((14000*(1+$B$8)^(1))*(5900-$B$6) - $B$9))/((1+$B$10)^2) + (((14000*(1+$B$8)^(2))*(5900-$B$6) - $B$9))/((1+$B$10)^3) + (((14000*(1+$B$8)^(3))*(5900-$B$6) - $B$9))/((1+$B$10)^4) + (((14000*(1+$B$8)^(4))*(5900-$B$6) - $B$9))/((1+$B$10)^5)</f>
        <v>-2.4999999999999999E-7</v>
      </c>
      <c r="F36" s="12">
        <f>-$B$4 + (((16000*(1+$B$8)^(0))*(5900-$B$6) - $B$9))/((1+$B$10)^1) + (((16000*(1+$B$8)^(1))*(5900-$B$6) - $B$9))/((1+$B$10)^2) + (((16000*(1+$B$8)^(2))*(5900-$B$6) - $B$9))/((1+$B$10)^3) + (((16000*(1+$B$8)^(3))*(5900-$B$6) - $B$9))/((1+$B$10)^4) + (((16000*(1+$B$8)^(4))*(5900-$B$6) - $B$9))/((1+$B$10)^5)</f>
        <v>-2.4999999999999999E-7</v>
      </c>
    </row>
    <row r="37" spans="1:7" x14ac:dyDescent="0.2">
      <c r="A37" s="12">
        <v>6400</v>
      </c>
      <c r="B37" s="12">
        <f>-$B$4 + (((8000*(1+$B$8)^(0))*(6400-$B$6) - $B$9))/((1+$B$10)^1) + (((8000*(1+$B$8)^(1))*(6400-$B$6) - $B$9))/((1+$B$10)^2) + (((8000*(1+$B$8)^(2))*(6400-$B$6) - $B$9))/((1+$B$10)^3) + (((8000*(1+$B$8)^(3))*(6400-$B$6) - $B$9))/((1+$B$10)^4) + (((8000*(1+$B$8)^(4))*(6400-$B$6) - $B$9))/((1+$B$10)^5)</f>
        <v>3.367003116666528</v>
      </c>
      <c r="C37" s="12">
        <f>-$B$4 + (((10000*(1+$B$8)^(0))*(6400-$B$6) - $B$9))/((1+$B$10)^1) + (((10000*(1+$B$8)^(1))*(6400-$B$6) - $B$9))/((1+$B$10)^2) + (((10000*(1+$B$8)^(2))*(6400-$B$6) - $B$9))/((1+$B$10)^3) + (((10000*(1+$B$8)^(3))*(6400-$B$6) - $B$9))/((1+$B$10)^4) + (((10000*(1+$B$8)^(4))*(6400-$B$6) - $B$9))/((1+$B$10)^5)</f>
        <v>4.2087539583331601</v>
      </c>
      <c r="D37" s="12">
        <f>-$B$4 + (((12000*(1+$B$8)^(0))*(6400-$B$6) - $B$9))/((1+$B$10)^1) + (((12000*(1+$B$8)^(1))*(6400-$B$6) - $B$9))/((1+$B$10)^2) + (((12000*(1+$B$8)^(2))*(6400-$B$6) - $B$9))/((1+$B$10)^3) + (((12000*(1+$B$8)^(3))*(6400-$B$6) - $B$9))/((1+$B$10)^4) + (((12000*(1+$B$8)^(4))*(6400-$B$6) - $B$9))/((1+$B$10)^5)</f>
        <v>5.0505047999997927</v>
      </c>
      <c r="E37" s="12">
        <f>-$B$4 + (((14000*(1+$B$8)^(0))*(6400-$B$6) - $B$9))/((1+$B$10)^1) + (((14000*(1+$B$8)^(1))*(6400-$B$6) - $B$9))/((1+$B$10)^2) + (((14000*(1+$B$8)^(2))*(6400-$B$6) - $B$9))/((1+$B$10)^3) + (((14000*(1+$B$8)^(3))*(6400-$B$6) - $B$9))/((1+$B$10)^4) + (((14000*(1+$B$8)^(4))*(6400-$B$6) - $B$9))/((1+$B$10)^5)</f>
        <v>5.8922556416664236</v>
      </c>
      <c r="F37" s="12">
        <f>-$B$4 + (((16000*(1+$B$8)^(0))*(6400-$B$6) - $B$9))/((1+$B$10)^1) + (((16000*(1+$B$8)^(1))*(6400-$B$6) - $B$9))/((1+$B$10)^2) + (((16000*(1+$B$8)^(2))*(6400-$B$6) - $B$9))/((1+$B$10)^3) + (((16000*(1+$B$8)^(3))*(6400-$B$6) - $B$9))/((1+$B$10)^4) + (((16000*(1+$B$8)^(4))*(6400-$B$6) - $B$9))/((1+$B$10)^5)</f>
        <v>6.7340064833330562</v>
      </c>
    </row>
    <row r="38" spans="1:7" x14ac:dyDescent="0.2">
      <c r="A38" s="12">
        <v>6900</v>
      </c>
      <c r="B38" s="12">
        <f>-$B$4 + (((8000*(1+$B$8)^(0))*(6900-$B$6) - $B$9))/((1+$B$10)^1) + (((8000*(1+$B$8)^(1))*(6900-$B$6) - $B$9))/((1+$B$10)^2) + (((8000*(1+$B$8)^(2))*(6900-$B$6) - $B$9))/((1+$B$10)^3) + (((8000*(1+$B$8)^(3))*(6900-$B$6) - $B$9))/((1+$B$10)^4) + (((8000*(1+$B$8)^(4))*(6900-$B$6) - $B$9))/((1+$B$10)^5)</f>
        <v>6.7340064833330562</v>
      </c>
      <c r="C38" s="12">
        <f>-$B$4 + (((10000*(1+$B$8)^(0))*(6900-$B$6) - $B$9))/((1+$B$10)^1) + (((10000*(1+$B$8)^(1))*(6900-$B$6) - $B$9))/((1+$B$10)^2) + (((10000*(1+$B$8)^(2))*(6900-$B$6) - $B$9))/((1+$B$10)^3) + (((10000*(1+$B$8)^(3))*(6900-$B$6) - $B$9))/((1+$B$10)^4) + (((10000*(1+$B$8)^(4))*(6900-$B$6) - $B$9))/((1+$B$10)^5)</f>
        <v>8.4175081666663214</v>
      </c>
      <c r="D38" s="12">
        <f>-$B$4 + (((12000*(1+$B$8)^(0))*(6900-$B$6) - $B$9))/((1+$B$10)^1) + (((12000*(1+$B$8)^(1))*(6900-$B$6) - $B$9))/((1+$B$10)^2) + (((12000*(1+$B$8)^(2))*(6900-$B$6) - $B$9))/((1+$B$10)^3) + (((12000*(1+$B$8)^(3))*(6900-$B$6) - $B$9))/((1+$B$10)^4) + (((12000*(1+$B$8)^(4))*(6900-$B$6) - $B$9))/((1+$B$10)^5)</f>
        <v>10.101009849999583</v>
      </c>
      <c r="E38" s="12">
        <f>-$B$4 + (((14000*(1+$B$8)^(0))*(6900-$B$6) - $B$9))/((1+$B$10)^1) + (((14000*(1+$B$8)^(1))*(6900-$B$6) - $B$9))/((1+$B$10)^2) + (((14000*(1+$B$8)^(2))*(6900-$B$6) - $B$9))/((1+$B$10)^3) + (((14000*(1+$B$8)^(3))*(6900-$B$6) - $B$9))/((1+$B$10)^4) + (((14000*(1+$B$8)^(4))*(6900-$B$6) - $B$9))/((1+$B$10)^5)</f>
        <v>11.784511533332848</v>
      </c>
      <c r="F38" s="12">
        <f>-$B$4 + (((16000*(1+$B$8)^(0))*(6900-$B$6) - $B$9))/((1+$B$10)^1) + (((16000*(1+$B$8)^(1))*(6900-$B$6) - $B$9))/((1+$B$10)^2) + (((16000*(1+$B$8)^(2))*(6900-$B$6) - $B$9))/((1+$B$10)^3) + (((16000*(1+$B$8)^(3))*(6900-$B$6) - $B$9))/((1+$B$10)^4) + (((16000*(1+$B$8)^(4))*(6900-$B$6) - $B$9))/((1+$B$10)^5)</f>
        <v>13.46801321666611</v>
      </c>
    </row>
    <row r="41" spans="1:7" ht="17" x14ac:dyDescent="0.2">
      <c r="A41" s="19" t="s">
        <v>97</v>
      </c>
      <c r="B41" s="20"/>
      <c r="C41" s="20"/>
      <c r="D41" s="20"/>
      <c r="E41" s="20"/>
      <c r="F41" s="20"/>
      <c r="G41" s="21"/>
    </row>
    <row r="42" spans="1:7" ht="26" customHeight="1" x14ac:dyDescent="0.2">
      <c r="A42" s="17" t="s">
        <v>240</v>
      </c>
      <c r="B42" s="18"/>
      <c r="C42" s="18"/>
      <c r="D42" s="18"/>
      <c r="E42" s="18"/>
      <c r="F42" s="18"/>
      <c r="G42" s="18"/>
    </row>
    <row r="43" spans="1:7" ht="26" customHeight="1" x14ac:dyDescent="0.2">
      <c r="A43" s="17" t="s">
        <v>241</v>
      </c>
      <c r="B43" s="18"/>
      <c r="C43" s="18"/>
      <c r="D43" s="18"/>
      <c r="E43" s="18"/>
      <c r="F43" s="18"/>
      <c r="G43" s="18"/>
    </row>
    <row r="44" spans="1:7" ht="26" customHeight="1" x14ac:dyDescent="0.2">
      <c r="A44" s="17" t="s">
        <v>242</v>
      </c>
      <c r="B44" s="18"/>
      <c r="C44" s="18"/>
      <c r="D44" s="18"/>
      <c r="E44" s="18"/>
      <c r="F44" s="18"/>
      <c r="G44" s="18"/>
    </row>
  </sheetData>
  <mergeCells count="8">
    <mergeCell ref="A32:G32"/>
    <mergeCell ref="A44:G44"/>
    <mergeCell ref="A26:G26"/>
    <mergeCell ref="A2:G2"/>
    <mergeCell ref="A15:G15"/>
    <mergeCell ref="A43:G43"/>
    <mergeCell ref="A41:G41"/>
    <mergeCell ref="A42:G42"/>
  </mergeCells>
  <conditionalFormatting sqref="B34:F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4" right="0.4" top="0.4" bottom="0.4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4"/>
  <sheetViews>
    <sheetView zoomScale="85" zoomScaleNormal="85" workbookViewId="0"/>
  </sheetViews>
  <sheetFormatPr baseColWidth="10" defaultColWidth="8.83203125" defaultRowHeight="15" x14ac:dyDescent="0.2"/>
  <cols>
    <col min="1" max="1" width="22.6640625" customWidth="1"/>
    <col min="2" max="14" width="12.6640625" customWidth="1"/>
  </cols>
  <sheetData>
    <row r="1" spans="1:14" ht="21" x14ac:dyDescent="0.25">
      <c r="A1" s="1" t="s">
        <v>243</v>
      </c>
    </row>
    <row r="2" spans="1:14" x14ac:dyDescent="0.2">
      <c r="A2" s="17" t="s">
        <v>244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28" customHeight="1" x14ac:dyDescent="0.2">
      <c r="A4" s="4" t="s">
        <v>106</v>
      </c>
      <c r="B4" s="4" t="s">
        <v>134</v>
      </c>
      <c r="C4" s="4" t="s">
        <v>135</v>
      </c>
      <c r="D4" s="4" t="s">
        <v>136</v>
      </c>
      <c r="E4" s="4" t="s">
        <v>137</v>
      </c>
      <c r="F4" s="4" t="s">
        <v>138</v>
      </c>
      <c r="G4" s="4" t="s">
        <v>139</v>
      </c>
      <c r="H4" s="4" t="s">
        <v>140</v>
      </c>
      <c r="I4" s="4" t="s">
        <v>141</v>
      </c>
      <c r="J4" s="4" t="s">
        <v>142</v>
      </c>
      <c r="K4" s="4" t="s">
        <v>143</v>
      </c>
      <c r="L4" s="4" t="s">
        <v>144</v>
      </c>
      <c r="M4" s="4" t="s">
        <v>145</v>
      </c>
      <c r="N4" s="4" t="s">
        <v>146</v>
      </c>
    </row>
    <row r="5" spans="1:14" x14ac:dyDescent="0.2">
      <c r="A5" s="9" t="s">
        <v>112</v>
      </c>
      <c r="B5" s="7">
        <v>0.7</v>
      </c>
      <c r="C5" s="7">
        <v>0.8</v>
      </c>
      <c r="D5" s="7">
        <v>1.4</v>
      </c>
      <c r="E5" s="7">
        <v>1.6</v>
      </c>
      <c r="F5" s="7">
        <v>1</v>
      </c>
      <c r="G5" s="7">
        <v>0.6</v>
      </c>
      <c r="H5" s="7">
        <v>0.5</v>
      </c>
      <c r="I5" s="7">
        <v>0.6</v>
      </c>
      <c r="J5" s="7">
        <v>1.4</v>
      </c>
      <c r="K5" s="7">
        <v>1.5</v>
      </c>
      <c r="L5" s="7">
        <v>0.9</v>
      </c>
      <c r="M5" s="7">
        <v>0.8</v>
      </c>
      <c r="N5" s="7">
        <f>AVERAGE(B5:M5)</f>
        <v>0.98333333333333339</v>
      </c>
    </row>
    <row r="6" spans="1:14" x14ac:dyDescent="0.2">
      <c r="A6" s="9" t="s">
        <v>114</v>
      </c>
      <c r="B6" s="7">
        <v>0.6</v>
      </c>
      <c r="C6" s="7">
        <v>0.7</v>
      </c>
      <c r="D6" s="7">
        <v>1.5</v>
      </c>
      <c r="E6" s="7">
        <v>1.6</v>
      </c>
      <c r="F6" s="7">
        <v>1.4</v>
      </c>
      <c r="G6" s="7">
        <v>1</v>
      </c>
      <c r="H6" s="7">
        <v>0.8</v>
      </c>
      <c r="I6" s="7">
        <v>0.7</v>
      </c>
      <c r="J6" s="7">
        <v>0.9</v>
      </c>
      <c r="K6" s="7">
        <v>1</v>
      </c>
      <c r="L6" s="7">
        <v>0.9</v>
      </c>
      <c r="M6" s="7">
        <v>0.9</v>
      </c>
      <c r="N6" s="7">
        <f>AVERAGE(B6:M6)</f>
        <v>1.0000000000000002</v>
      </c>
    </row>
    <row r="7" spans="1:14" x14ac:dyDescent="0.2">
      <c r="A7" s="9" t="s">
        <v>116</v>
      </c>
      <c r="B7" s="7">
        <v>0.9</v>
      </c>
      <c r="C7" s="7">
        <v>0.9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1.1000000000000001</v>
      </c>
      <c r="K7" s="7">
        <v>1.2</v>
      </c>
      <c r="L7" s="7">
        <v>1</v>
      </c>
      <c r="M7" s="7">
        <v>0.9</v>
      </c>
      <c r="N7" s="7">
        <f>AVERAGE(B7:M7)</f>
        <v>1</v>
      </c>
    </row>
    <row r="9" spans="1:14" ht="17" x14ac:dyDescent="0.2">
      <c r="A9" s="19" t="s">
        <v>245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ht="16" x14ac:dyDescent="0.2">
      <c r="A10" s="4" t="s">
        <v>106</v>
      </c>
      <c r="B10" s="4" t="s">
        <v>246</v>
      </c>
      <c r="C10" s="4" t="s">
        <v>134</v>
      </c>
      <c r="D10" s="4" t="s">
        <v>135</v>
      </c>
      <c r="E10" s="4" t="s">
        <v>136</v>
      </c>
      <c r="F10" s="4" t="s">
        <v>137</v>
      </c>
      <c r="G10" s="4" t="s">
        <v>138</v>
      </c>
      <c r="H10" s="4" t="s">
        <v>139</v>
      </c>
      <c r="I10" s="4" t="s">
        <v>140</v>
      </c>
      <c r="J10" s="4" t="s">
        <v>141</v>
      </c>
      <c r="K10" s="4" t="s">
        <v>142</v>
      </c>
      <c r="L10" s="4" t="s">
        <v>143</v>
      </c>
      <c r="M10" s="4" t="s">
        <v>144</v>
      </c>
      <c r="N10" s="4" t="s">
        <v>145</v>
      </c>
    </row>
    <row r="11" spans="1:14" x14ac:dyDescent="0.2">
      <c r="A11" s="9" t="s">
        <v>112</v>
      </c>
      <c r="B11" s="15">
        <v>36000000</v>
      </c>
      <c r="C11" s="12">
        <f>B11/12 * VLOOKUP($A11,$A$5:$M$7,2,FALSE)</f>
        <v>2100000</v>
      </c>
      <c r="D11" s="12">
        <f>B11/12 * VLOOKUP($A11,$A$5:$M$7,3,FALSE)</f>
        <v>2400000</v>
      </c>
      <c r="E11" s="12">
        <f>B11/12 * VLOOKUP($A11,$A$5:$M$7,4,FALSE)</f>
        <v>4200000</v>
      </c>
      <c r="F11" s="12">
        <f>B11/12 * VLOOKUP($A11,$A$5:$M$7,5,FALSE)</f>
        <v>4800000</v>
      </c>
      <c r="G11" s="12">
        <f>B11/12 * VLOOKUP($A11,$A$5:$M$7,6,FALSE)</f>
        <v>3000000</v>
      </c>
      <c r="H11" s="12">
        <f>B11/12 * VLOOKUP($A11,$A$5:$M$7,7,FALSE)</f>
        <v>1800000</v>
      </c>
      <c r="I11" s="12">
        <f>B11/12 * VLOOKUP($A11,$A$5:$M$7,8,FALSE)</f>
        <v>1500000</v>
      </c>
      <c r="J11" s="12">
        <f>B11/12 * VLOOKUP($A11,$A$5:$M$7,9,FALSE)</f>
        <v>1800000</v>
      </c>
      <c r="K11" s="12">
        <f>B11/12 * VLOOKUP($A11,$A$5:$M$7,10,FALSE)</f>
        <v>4200000</v>
      </c>
      <c r="L11" s="12">
        <f>B11/12 * VLOOKUP($A11,$A$5:$M$7,11,FALSE)</f>
        <v>4500000</v>
      </c>
      <c r="M11" s="12">
        <f>B11/12 * VLOOKUP($A11,$A$5:$M$7,12,FALSE)</f>
        <v>2700000</v>
      </c>
      <c r="N11" s="12">
        <f>B11/12 * VLOOKUP($A11,$A$5:$M$7,13,FALSE)</f>
        <v>2400000</v>
      </c>
    </row>
    <row r="12" spans="1:14" x14ac:dyDescent="0.2">
      <c r="A12" s="9" t="s">
        <v>114</v>
      </c>
      <c r="B12" s="15">
        <v>28000000</v>
      </c>
      <c r="C12" s="12">
        <f>B12/12 * VLOOKUP($A12,$A$5:$M$7,2,FALSE)</f>
        <v>1400000</v>
      </c>
      <c r="D12" s="12">
        <f>B12/12 * VLOOKUP($A12,$A$5:$M$7,3,FALSE)</f>
        <v>1633333.3333333333</v>
      </c>
      <c r="E12" s="12">
        <f>B12/12 * VLOOKUP($A12,$A$5:$M$7,4,FALSE)</f>
        <v>3500000</v>
      </c>
      <c r="F12" s="12">
        <f>B12/12 * VLOOKUP($A12,$A$5:$M$7,5,FALSE)</f>
        <v>3733333.333333334</v>
      </c>
      <c r="G12" s="12">
        <f>B12/12 * VLOOKUP($A12,$A$5:$M$7,6,FALSE)</f>
        <v>3266666.6666666665</v>
      </c>
      <c r="H12" s="12">
        <f>B12/12 * VLOOKUP($A12,$A$5:$M$7,7,FALSE)</f>
        <v>2333333.3333333335</v>
      </c>
      <c r="I12" s="12">
        <f>B12/12 * VLOOKUP($A12,$A$5:$M$7,8,FALSE)</f>
        <v>1866666.666666667</v>
      </c>
      <c r="J12" s="12">
        <f>B12/12 * VLOOKUP($A12,$A$5:$M$7,9,FALSE)</f>
        <v>1633333.3333333333</v>
      </c>
      <c r="K12" s="12">
        <f>B12/12 * VLOOKUP($A12,$A$5:$M$7,10,FALSE)</f>
        <v>2100000</v>
      </c>
      <c r="L12" s="12">
        <f>B12/12 * VLOOKUP($A12,$A$5:$M$7,11,FALSE)</f>
        <v>2333333.3333333335</v>
      </c>
      <c r="M12" s="12">
        <f>B12/12 * VLOOKUP($A12,$A$5:$M$7,12,FALSE)</f>
        <v>2100000</v>
      </c>
      <c r="N12" s="12">
        <f>B12/12 * VLOOKUP($A12,$A$5:$M$7,13,FALSE)</f>
        <v>2100000</v>
      </c>
    </row>
    <row r="13" spans="1:14" x14ac:dyDescent="0.2">
      <c r="A13" s="9" t="s">
        <v>116</v>
      </c>
      <c r="B13" s="15">
        <v>22000000</v>
      </c>
      <c r="C13" s="12">
        <f>B13/12 * VLOOKUP($A13,$A$5:$M$7,2,FALSE)</f>
        <v>1650000</v>
      </c>
      <c r="D13" s="12">
        <f>B13/12 * VLOOKUP($A13,$A$5:$M$7,3,FALSE)</f>
        <v>1650000</v>
      </c>
      <c r="E13" s="12">
        <f>B13/12 * VLOOKUP($A13,$A$5:$M$7,4,FALSE)</f>
        <v>1833333.3333333333</v>
      </c>
      <c r="F13" s="12">
        <f>B13/12 * VLOOKUP($A13,$A$5:$M$7,5,FALSE)</f>
        <v>1833333.3333333333</v>
      </c>
      <c r="G13" s="12">
        <f>B13/12 * VLOOKUP($A13,$A$5:$M$7,6,FALSE)</f>
        <v>1833333.3333333333</v>
      </c>
      <c r="H13" s="12">
        <f>B13/12 * VLOOKUP($A13,$A$5:$M$7,7,FALSE)</f>
        <v>1833333.3333333333</v>
      </c>
      <c r="I13" s="12">
        <f>B13/12 * VLOOKUP($A13,$A$5:$M$7,8,FALSE)</f>
        <v>1833333.3333333333</v>
      </c>
      <c r="J13" s="12">
        <f>B13/12 * VLOOKUP($A13,$A$5:$M$7,9,FALSE)</f>
        <v>1833333.3333333333</v>
      </c>
      <c r="K13" s="12">
        <f>B13/12 * VLOOKUP($A13,$A$5:$M$7,10,FALSE)</f>
        <v>2016666.6666666667</v>
      </c>
      <c r="L13" s="12">
        <f>B13/12 * VLOOKUP($A13,$A$5:$M$7,11,FALSE)</f>
        <v>2200000</v>
      </c>
      <c r="M13" s="12">
        <f>B13/12 * VLOOKUP($A13,$A$5:$M$7,12,FALSE)</f>
        <v>1833333.3333333333</v>
      </c>
      <c r="N13" s="12">
        <f>B13/12 * VLOOKUP($A13,$A$5:$M$7,13,FALSE)</f>
        <v>1650000</v>
      </c>
    </row>
    <row r="31" spans="1:14" ht="17" x14ac:dyDescent="0.2">
      <c r="A31" s="19" t="s">
        <v>97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/>
    </row>
    <row r="32" spans="1:14" ht="26" customHeight="1" x14ac:dyDescent="0.2">
      <c r="A32" s="17" t="s">
        <v>247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26" customHeight="1" x14ac:dyDescent="0.2">
      <c r="A33" s="17" t="s">
        <v>248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26" customHeight="1" x14ac:dyDescent="0.2">
      <c r="A34" s="17" t="s">
        <v>249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</sheetData>
  <mergeCells count="6">
    <mergeCell ref="A9:N9"/>
    <mergeCell ref="A31:N31"/>
    <mergeCell ref="A34:N34"/>
    <mergeCell ref="A2:N2"/>
    <mergeCell ref="A33:N33"/>
    <mergeCell ref="A32:N32"/>
  </mergeCells>
  <pageMargins left="0.4" right="0.4" top="0.4" bottom="0.4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7"/>
  <sheetViews>
    <sheetView zoomScale="85" zoomScaleNormal="85" workbookViewId="0"/>
  </sheetViews>
  <sheetFormatPr baseColWidth="10" defaultColWidth="8.83203125" defaultRowHeight="15" x14ac:dyDescent="0.2"/>
  <cols>
    <col min="1" max="1" width="30.6640625" customWidth="1"/>
    <col min="2" max="8" width="16.6640625" customWidth="1"/>
  </cols>
  <sheetData>
    <row r="1" spans="1:8" ht="21" x14ac:dyDescent="0.25">
      <c r="A1" s="1" t="s">
        <v>250</v>
      </c>
    </row>
    <row r="2" spans="1:8" x14ac:dyDescent="0.2">
      <c r="A2" s="17" t="s">
        <v>251</v>
      </c>
      <c r="B2" s="18"/>
      <c r="C2" s="18"/>
      <c r="D2" s="18"/>
      <c r="E2" s="18"/>
      <c r="F2" s="18"/>
      <c r="G2" s="18"/>
      <c r="H2" s="18"/>
    </row>
    <row r="4" spans="1:8" ht="36" customHeight="1" x14ac:dyDescent="0.2">
      <c r="A4" s="4" t="s">
        <v>252</v>
      </c>
      <c r="B4" s="4" t="s">
        <v>253</v>
      </c>
      <c r="C4" s="4" t="s">
        <v>254</v>
      </c>
      <c r="D4" s="4" t="s">
        <v>255</v>
      </c>
      <c r="E4" s="4" t="s">
        <v>256</v>
      </c>
      <c r="F4" s="4" t="s">
        <v>257</v>
      </c>
      <c r="G4" s="4" t="s">
        <v>258</v>
      </c>
      <c r="H4" s="4" t="s">
        <v>259</v>
      </c>
    </row>
    <row r="5" spans="1:8" x14ac:dyDescent="0.2">
      <c r="A5" s="9" t="s">
        <v>260</v>
      </c>
      <c r="B5" s="12">
        <v>1800000000</v>
      </c>
      <c r="C5" s="13">
        <v>0.55000000000000004</v>
      </c>
      <c r="D5" s="15">
        <f t="shared" ref="D5:D12" si="0">B5*C5</f>
        <v>990000000.00000012</v>
      </c>
      <c r="E5" s="13">
        <v>1.18</v>
      </c>
      <c r="F5" s="6">
        <v>3</v>
      </c>
      <c r="G5" s="6">
        <f t="shared" ref="G5:G12" si="1">(D5/1000000)*E5/F5</f>
        <v>389.40000000000003</v>
      </c>
      <c r="H5" s="9" t="str">
        <f t="shared" ref="H5:H12" si="2">IF(G5&gt;500,"GO: целевая ниша",IF(G5&gt;200,"WAIT: проработать партнёрство","NO-GO: не наш фокус"))</f>
        <v>WAIT: проработать партнёрство</v>
      </c>
    </row>
    <row r="6" spans="1:8" x14ac:dyDescent="0.2">
      <c r="A6" s="9" t="s">
        <v>261</v>
      </c>
      <c r="B6" s="12">
        <v>1200000000</v>
      </c>
      <c r="C6" s="13">
        <v>0.4</v>
      </c>
      <c r="D6" s="15">
        <f t="shared" si="0"/>
        <v>480000000</v>
      </c>
      <c r="E6" s="13">
        <v>1.1000000000000001</v>
      </c>
      <c r="F6" s="6">
        <v>2</v>
      </c>
      <c r="G6" s="6">
        <f t="shared" si="1"/>
        <v>264</v>
      </c>
      <c r="H6" s="9" t="str">
        <f t="shared" si="2"/>
        <v>WAIT: проработать партнёрство</v>
      </c>
    </row>
    <row r="7" spans="1:8" x14ac:dyDescent="0.2">
      <c r="A7" s="9" t="s">
        <v>262</v>
      </c>
      <c r="B7" s="12">
        <v>2400000000</v>
      </c>
      <c r="C7" s="13">
        <v>0.75</v>
      </c>
      <c r="D7" s="15">
        <f t="shared" si="0"/>
        <v>1800000000</v>
      </c>
      <c r="E7" s="13">
        <v>1.22</v>
      </c>
      <c r="F7" s="6">
        <v>5</v>
      </c>
      <c r="G7" s="6">
        <f t="shared" si="1"/>
        <v>439.2</v>
      </c>
      <c r="H7" s="9" t="str">
        <f t="shared" si="2"/>
        <v>WAIT: проработать партнёрство</v>
      </c>
    </row>
    <row r="8" spans="1:8" x14ac:dyDescent="0.2">
      <c r="A8" s="9" t="s">
        <v>263</v>
      </c>
      <c r="B8" s="12">
        <v>7800000000</v>
      </c>
      <c r="C8" s="13">
        <v>0.65</v>
      </c>
      <c r="D8" s="15">
        <f t="shared" si="0"/>
        <v>5070000000</v>
      </c>
      <c r="E8" s="13">
        <v>1.1499999999999999</v>
      </c>
      <c r="F8" s="6">
        <v>4</v>
      </c>
      <c r="G8" s="6">
        <f t="shared" si="1"/>
        <v>1457.625</v>
      </c>
      <c r="H8" s="9" t="str">
        <f t="shared" si="2"/>
        <v>GO: целевая ниша</v>
      </c>
    </row>
    <row r="9" spans="1:8" x14ac:dyDescent="0.2">
      <c r="A9" s="9" t="s">
        <v>264</v>
      </c>
      <c r="B9" s="12">
        <v>900000000</v>
      </c>
      <c r="C9" s="13">
        <v>0.5</v>
      </c>
      <c r="D9" s="15">
        <f t="shared" si="0"/>
        <v>450000000</v>
      </c>
      <c r="E9" s="13">
        <v>1.2</v>
      </c>
      <c r="F9" s="6">
        <v>3</v>
      </c>
      <c r="G9" s="6">
        <f t="shared" si="1"/>
        <v>180</v>
      </c>
      <c r="H9" s="9" t="str">
        <f t="shared" si="2"/>
        <v>NO-GO: не наш фокус</v>
      </c>
    </row>
    <row r="10" spans="1:8" x14ac:dyDescent="0.2">
      <c r="A10" s="9" t="s">
        <v>265</v>
      </c>
      <c r="B10" s="12">
        <v>2500000000</v>
      </c>
      <c r="C10" s="13">
        <v>0.85</v>
      </c>
      <c r="D10" s="15">
        <f t="shared" si="0"/>
        <v>2125000000</v>
      </c>
      <c r="E10" s="13">
        <v>1.25</v>
      </c>
      <c r="F10" s="6">
        <v>5</v>
      </c>
      <c r="G10" s="6">
        <f t="shared" si="1"/>
        <v>531.25</v>
      </c>
      <c r="H10" s="9" t="str">
        <f t="shared" si="2"/>
        <v>GO: целевая ниша</v>
      </c>
    </row>
    <row r="11" spans="1:8" x14ac:dyDescent="0.2">
      <c r="A11" s="9" t="s">
        <v>266</v>
      </c>
      <c r="B11" s="12">
        <v>600000000</v>
      </c>
      <c r="C11" s="13">
        <v>0.7</v>
      </c>
      <c r="D11" s="15">
        <f t="shared" si="0"/>
        <v>420000000</v>
      </c>
      <c r="E11" s="13">
        <v>1.3</v>
      </c>
      <c r="F11" s="6">
        <v>4</v>
      </c>
      <c r="G11" s="6">
        <f t="shared" si="1"/>
        <v>136.5</v>
      </c>
      <c r="H11" s="9" t="str">
        <f t="shared" si="2"/>
        <v>NO-GO: не наш фокус</v>
      </c>
    </row>
    <row r="12" spans="1:8" x14ac:dyDescent="0.2">
      <c r="A12" s="9" t="s">
        <v>267</v>
      </c>
      <c r="B12" s="12">
        <v>450000000</v>
      </c>
      <c r="C12" s="13">
        <v>0.8</v>
      </c>
      <c r="D12" s="15">
        <f t="shared" si="0"/>
        <v>360000000</v>
      </c>
      <c r="E12" s="13">
        <v>1.35</v>
      </c>
      <c r="F12" s="6">
        <v>4</v>
      </c>
      <c r="G12" s="6">
        <f t="shared" si="1"/>
        <v>121.50000000000001</v>
      </c>
      <c r="H12" s="9" t="str">
        <f t="shared" si="2"/>
        <v>NO-GO: не наш фокус</v>
      </c>
    </row>
    <row r="14" spans="1:8" ht="17" x14ac:dyDescent="0.2">
      <c r="A14" s="19" t="s">
        <v>97</v>
      </c>
      <c r="B14" s="20"/>
      <c r="C14" s="20"/>
      <c r="D14" s="20"/>
      <c r="E14" s="20"/>
      <c r="F14" s="20"/>
      <c r="G14" s="20"/>
      <c r="H14" s="21"/>
    </row>
    <row r="15" spans="1:8" ht="28" customHeight="1" x14ac:dyDescent="0.2">
      <c r="A15" s="17" t="s">
        <v>268</v>
      </c>
      <c r="B15" s="18"/>
      <c r="C15" s="18"/>
      <c r="D15" s="18"/>
      <c r="E15" s="18"/>
      <c r="F15" s="18"/>
      <c r="G15" s="18"/>
      <c r="H15" s="18"/>
    </row>
    <row r="16" spans="1:8" ht="28" customHeight="1" x14ac:dyDescent="0.2">
      <c r="A16" s="17" t="s">
        <v>269</v>
      </c>
      <c r="B16" s="18"/>
      <c r="C16" s="18"/>
      <c r="D16" s="18"/>
      <c r="E16" s="18"/>
      <c r="F16" s="18"/>
      <c r="G16" s="18"/>
      <c r="H16" s="18"/>
    </row>
    <row r="17" spans="1:8" ht="28" customHeight="1" x14ac:dyDescent="0.2">
      <c r="A17" s="17" t="s">
        <v>270</v>
      </c>
      <c r="B17" s="18"/>
      <c r="C17" s="18"/>
      <c r="D17" s="18"/>
      <c r="E17" s="18"/>
      <c r="F17" s="18"/>
      <c r="G17" s="18"/>
      <c r="H17" s="18"/>
    </row>
  </sheetData>
  <mergeCells count="5">
    <mergeCell ref="A15:H15"/>
    <mergeCell ref="A2:H2"/>
    <mergeCell ref="A16:H16"/>
    <mergeCell ref="A14:H14"/>
    <mergeCell ref="A17:H17"/>
  </mergeCells>
  <conditionalFormatting sqref="G5:G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2">
    <cfRule type="containsText" dxfId="2" priority="1" operator="containsText" text="GO">
      <formula>NOT(ISERROR(SEARCH("GO",H5)))</formula>
    </cfRule>
    <cfRule type="containsText" dxfId="1" priority="2" operator="containsText" text="WAIT">
      <formula>NOT(ISERROR(SEARCH("WAIT",H5)))</formula>
    </cfRule>
    <cfRule type="containsText" dxfId="0" priority="3" operator="containsText" text="NO-GO">
      <formula>NOT(ISERROR(SEARCH("NO-GO",H5)))</formula>
    </cfRule>
  </conditionalFormatting>
  <pageMargins left="0.4" right="0.4" top="0.4" bottom="0.4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4"/>
  <sheetViews>
    <sheetView zoomScale="85" zoomScaleNormal="85" workbookViewId="0"/>
  </sheetViews>
  <sheetFormatPr baseColWidth="10" defaultColWidth="8.83203125" defaultRowHeight="15" x14ac:dyDescent="0.2"/>
  <cols>
    <col min="1" max="1" width="16.6640625" customWidth="1"/>
    <col min="2" max="7" width="22.6640625" customWidth="1"/>
  </cols>
  <sheetData>
    <row r="1" spans="1:7" ht="21" x14ac:dyDescent="0.25">
      <c r="A1" s="1" t="s">
        <v>271</v>
      </c>
    </row>
    <row r="2" spans="1:7" x14ac:dyDescent="0.2">
      <c r="A2" s="17" t="s">
        <v>272</v>
      </c>
      <c r="B2" s="18"/>
      <c r="C2" s="18"/>
      <c r="D2" s="18"/>
      <c r="E2" s="18"/>
      <c r="F2" s="18"/>
      <c r="G2" s="18"/>
    </row>
    <row r="4" spans="1:7" ht="38" customHeight="1" x14ac:dyDescent="0.2">
      <c r="A4" s="4" t="s">
        <v>72</v>
      </c>
      <c r="B4" s="4" t="s">
        <v>273</v>
      </c>
      <c r="C4" s="4" t="s">
        <v>274</v>
      </c>
      <c r="D4" s="4" t="s">
        <v>275</v>
      </c>
      <c r="E4" s="4" t="s">
        <v>276</v>
      </c>
      <c r="F4" s="4" t="s">
        <v>277</v>
      </c>
      <c r="G4" s="4" t="s">
        <v>278</v>
      </c>
    </row>
    <row r="5" spans="1:7" x14ac:dyDescent="0.2">
      <c r="A5" s="9" t="s">
        <v>88</v>
      </c>
      <c r="B5" s="9" t="s">
        <v>279</v>
      </c>
      <c r="C5" s="9" t="s">
        <v>280</v>
      </c>
      <c r="D5" s="9" t="s">
        <v>281</v>
      </c>
      <c r="E5" s="9" t="s">
        <v>282</v>
      </c>
      <c r="F5" s="9" t="s">
        <v>283</v>
      </c>
      <c r="G5" s="11">
        <v>5</v>
      </c>
    </row>
    <row r="6" spans="1:7" x14ac:dyDescent="0.2">
      <c r="A6" s="9" t="s">
        <v>284</v>
      </c>
      <c r="B6" s="9" t="s">
        <v>285</v>
      </c>
      <c r="C6" s="9" t="s">
        <v>286</v>
      </c>
      <c r="D6" s="9" t="s">
        <v>287</v>
      </c>
      <c r="E6" s="9" t="s">
        <v>288</v>
      </c>
      <c r="F6" s="9" t="s">
        <v>289</v>
      </c>
      <c r="G6" s="11">
        <v>3</v>
      </c>
    </row>
    <row r="7" spans="1:7" x14ac:dyDescent="0.2">
      <c r="A7" s="9" t="s">
        <v>93</v>
      </c>
      <c r="B7" s="9" t="s">
        <v>290</v>
      </c>
      <c r="C7" s="9" t="s">
        <v>291</v>
      </c>
      <c r="D7" s="9" t="s">
        <v>292</v>
      </c>
      <c r="E7" s="9" t="s">
        <v>293</v>
      </c>
      <c r="F7" s="9" t="s">
        <v>294</v>
      </c>
      <c r="G7" s="11">
        <v>5</v>
      </c>
    </row>
    <row r="8" spans="1:7" x14ac:dyDescent="0.2">
      <c r="A8" s="9" t="s">
        <v>295</v>
      </c>
      <c r="B8" s="9" t="s">
        <v>296</v>
      </c>
      <c r="C8" s="9" t="s">
        <v>297</v>
      </c>
      <c r="D8" s="9" t="s">
        <v>298</v>
      </c>
      <c r="E8" s="9" t="s">
        <v>299</v>
      </c>
      <c r="F8" s="9" t="s">
        <v>300</v>
      </c>
      <c r="G8" s="11">
        <v>4</v>
      </c>
    </row>
    <row r="9" spans="1:7" x14ac:dyDescent="0.2">
      <c r="A9" s="9" t="s">
        <v>301</v>
      </c>
      <c r="B9" s="9" t="s">
        <v>302</v>
      </c>
      <c r="C9" s="9" t="s">
        <v>303</v>
      </c>
      <c r="D9" s="9" t="s">
        <v>304</v>
      </c>
      <c r="E9" s="9" t="s">
        <v>305</v>
      </c>
      <c r="F9" s="9" t="s">
        <v>306</v>
      </c>
      <c r="G9" s="11">
        <v>4</v>
      </c>
    </row>
    <row r="11" spans="1:7" ht="17" x14ac:dyDescent="0.2">
      <c r="A11" s="19" t="s">
        <v>307</v>
      </c>
      <c r="B11" s="20"/>
      <c r="C11" s="20"/>
      <c r="D11" s="20"/>
      <c r="E11" s="20"/>
      <c r="F11" s="20"/>
      <c r="G11" s="21"/>
    </row>
    <row r="12" spans="1:7" ht="28" customHeight="1" x14ac:dyDescent="0.2">
      <c r="A12" s="17" t="s">
        <v>308</v>
      </c>
      <c r="B12" s="18"/>
      <c r="C12" s="18"/>
      <c r="D12" s="18"/>
      <c r="E12" s="18"/>
      <c r="F12" s="18"/>
      <c r="G12" s="18"/>
    </row>
    <row r="13" spans="1:7" ht="28" customHeight="1" x14ac:dyDescent="0.2">
      <c r="A13" s="17" t="s">
        <v>309</v>
      </c>
      <c r="B13" s="18"/>
      <c r="C13" s="18"/>
      <c r="D13" s="18"/>
      <c r="E13" s="18"/>
      <c r="F13" s="18"/>
      <c r="G13" s="18"/>
    </row>
    <row r="14" spans="1:7" ht="28" customHeight="1" x14ac:dyDescent="0.2">
      <c r="A14" s="17" t="s">
        <v>310</v>
      </c>
      <c r="B14" s="18"/>
      <c r="C14" s="18"/>
      <c r="D14" s="18"/>
      <c r="E14" s="18"/>
      <c r="F14" s="18"/>
      <c r="G14" s="18"/>
    </row>
  </sheetData>
  <mergeCells count="5">
    <mergeCell ref="A13:G13"/>
    <mergeCell ref="A14:G14"/>
    <mergeCell ref="A12:G12"/>
    <mergeCell ref="A2:G2"/>
    <mergeCell ref="A11:G11"/>
  </mergeCells>
  <conditionalFormatting sqref="G5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4" right="0.4" top="0.4" bottom="0.4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0"/>
  <sheetViews>
    <sheetView zoomScale="85" zoomScaleNormal="85" workbookViewId="0"/>
  </sheetViews>
  <sheetFormatPr baseColWidth="10" defaultColWidth="8.83203125" defaultRowHeight="15" x14ac:dyDescent="0.2"/>
  <cols>
    <col min="1" max="8" width="18.6640625" customWidth="1"/>
  </cols>
  <sheetData>
    <row r="1" spans="1:8" ht="30" customHeight="1" x14ac:dyDescent="0.25">
      <c r="A1" s="1" t="s">
        <v>311</v>
      </c>
    </row>
    <row r="2" spans="1:8" x14ac:dyDescent="0.2">
      <c r="A2" s="17" t="s">
        <v>312</v>
      </c>
      <c r="B2" s="18"/>
      <c r="C2" s="18"/>
      <c r="D2" s="18"/>
      <c r="E2" s="18"/>
      <c r="F2" s="18"/>
      <c r="G2" s="18"/>
      <c r="H2" s="18"/>
    </row>
    <row r="4" spans="1:8" ht="16" x14ac:dyDescent="0.2">
      <c r="A4" s="22" t="s">
        <v>188</v>
      </c>
      <c r="B4" s="23"/>
      <c r="C4" s="22" t="s">
        <v>189</v>
      </c>
      <c r="D4" s="23"/>
      <c r="E4" s="22" t="s">
        <v>313</v>
      </c>
      <c r="F4" s="23"/>
      <c r="G4" s="22" t="s">
        <v>314</v>
      </c>
      <c r="H4" s="23"/>
    </row>
    <row r="5" spans="1:8" x14ac:dyDescent="0.2">
      <c r="A5" s="24">
        <f>SUM('06_Юнит_экономика'!G5:G10)</f>
        <v>44373200</v>
      </c>
      <c r="B5" s="25"/>
      <c r="C5" s="24">
        <f>SUM('06_Юнит_экономика'!H5:H10)</f>
        <v>14029600</v>
      </c>
      <c r="D5" s="25"/>
      <c r="E5" s="28">
        <f>AVERAGE('06_Юнит_экономика'!E5:E10)</f>
        <v>0.33803345168476745</v>
      </c>
      <c r="F5" s="25"/>
      <c r="G5" s="28">
        <f>SUMIF('03_ABC_анализ'!G5:G19,"A",'03_ABC_анализ'!D5:D19)/SUM('03_ABC_анализ'!D5:D19)</f>
        <v>0.75388026607538805</v>
      </c>
      <c r="H5" s="25"/>
    </row>
    <row r="6" spans="1:8" x14ac:dyDescent="0.2">
      <c r="A6" s="26"/>
      <c r="B6" s="27"/>
      <c r="C6" s="26"/>
      <c r="D6" s="27"/>
      <c r="E6" s="26"/>
      <c r="F6" s="27"/>
      <c r="G6" s="26"/>
      <c r="H6" s="27"/>
    </row>
    <row r="8" spans="1:8" ht="17" x14ac:dyDescent="0.2">
      <c r="A8" s="19" t="s">
        <v>315</v>
      </c>
      <c r="B8" s="20"/>
      <c r="C8" s="20"/>
      <c r="D8" s="20"/>
      <c r="E8" s="20"/>
      <c r="F8" s="20"/>
      <c r="G8" s="20"/>
      <c r="H8" s="21"/>
    </row>
    <row r="9" spans="1:8" ht="16" x14ac:dyDescent="0.2">
      <c r="A9" s="4" t="s">
        <v>316</v>
      </c>
      <c r="B9" s="4" t="s">
        <v>105</v>
      </c>
      <c r="C9" s="4" t="s">
        <v>107</v>
      </c>
      <c r="D9" s="4" t="s">
        <v>108</v>
      </c>
      <c r="E9" s="4" t="s">
        <v>317</v>
      </c>
      <c r="F9" s="4" t="s">
        <v>110</v>
      </c>
      <c r="G9" s="4" t="s">
        <v>106</v>
      </c>
      <c r="H9" s="4" t="s">
        <v>259</v>
      </c>
    </row>
    <row r="10" spans="1:8" x14ac:dyDescent="0.2">
      <c r="A10" s="11">
        <v>1</v>
      </c>
      <c r="B10" s="9" t="str">
        <f>'03_ABC_анализ'!B5</f>
        <v>Икра форелевая 100К партия (фермы)</v>
      </c>
      <c r="C10" s="12">
        <f>'03_ABC_анализ'!D5</f>
        <v>18500000</v>
      </c>
      <c r="D10" s="8">
        <f>'03_ABC_анализ'!E5</f>
        <v>0.22788864252278887</v>
      </c>
      <c r="E10" s="8">
        <f>'03_ABC_анализ'!F5</f>
        <v>0.22788864252278887</v>
      </c>
      <c r="F10" s="11" t="str">
        <f>'03_ABC_анализ'!G5</f>
        <v>A</v>
      </c>
      <c r="G10" s="11" t="str">
        <f>'03_ABC_анализ'!C5</f>
        <v>Икра</v>
      </c>
      <c r="H10" s="9" t="str">
        <f>IF(F10="A","Защищать ассортимент",IF(F10="B","Поддерживать","Пересмотр"))</f>
        <v>Защищать ассортимент</v>
      </c>
    </row>
    <row r="11" spans="1:8" x14ac:dyDescent="0.2">
      <c r="A11" s="11">
        <v>2</v>
      </c>
      <c r="B11" s="9" t="str">
        <f>'03_ABC_анализ'!B6</f>
        <v>Малёк форели 3-5г, оптом</v>
      </c>
      <c r="C11" s="12">
        <f>'03_ABC_анализ'!D6</f>
        <v>14200000</v>
      </c>
      <c r="D11" s="8">
        <f>'03_ABC_анализ'!E6</f>
        <v>0.17491993101749198</v>
      </c>
      <c r="E11" s="8">
        <f>'03_ABC_анализ'!F6</f>
        <v>0.40280857354028088</v>
      </c>
      <c r="F11" s="11" t="str">
        <f>'03_ABC_анализ'!G6</f>
        <v>A</v>
      </c>
      <c r="G11" s="11" t="str">
        <f>'03_ABC_анализ'!C6</f>
        <v>Малёк</v>
      </c>
      <c r="H11" s="9" t="str">
        <f>IF(F11="A","Защищать ассортимент",IF(F11="B","Поддерживать","Пересмотр"))</f>
        <v>Защищать ассортимент</v>
      </c>
    </row>
    <row r="12" spans="1:8" x14ac:dyDescent="0.2">
      <c r="A12" s="11">
        <v>3</v>
      </c>
      <c r="B12" s="9" t="str">
        <f>'03_ABC_анализ'!B7</f>
        <v>Товарная форель 1-1.5 кг (сети)</v>
      </c>
      <c r="C12" s="12">
        <f>'03_ABC_анализ'!D7</f>
        <v>11800000</v>
      </c>
      <c r="D12" s="8">
        <f>'03_ABC_анализ'!E7</f>
        <v>0.14535599901453561</v>
      </c>
      <c r="E12" s="8">
        <f>'03_ABC_анализ'!F7</f>
        <v>0.54816457255481654</v>
      </c>
      <c r="F12" s="11" t="str">
        <f>'03_ABC_анализ'!G7</f>
        <v>A</v>
      </c>
      <c r="G12" s="11" t="str">
        <f>'03_ABC_анализ'!C7</f>
        <v>Товарная</v>
      </c>
      <c r="H12" s="9" t="str">
        <f>IF(F12="A","Защищать ассортимент",IF(F12="B","Поддерживать","Пересмотр"))</f>
        <v>Защищать ассортимент</v>
      </c>
    </row>
    <row r="13" spans="1:8" x14ac:dyDescent="0.2">
      <c r="A13" s="11">
        <v>4</v>
      </c>
      <c r="B13" s="9" t="str">
        <f>'03_ABC_анализ'!B8</f>
        <v>Икра форелевая 50К партия (средние фермы)</v>
      </c>
      <c r="C13" s="12">
        <f>'03_ABC_анализ'!D8</f>
        <v>9300000</v>
      </c>
      <c r="D13" s="8">
        <f>'03_ABC_анализ'!E8</f>
        <v>0.11456023651145603</v>
      </c>
      <c r="E13" s="8">
        <f>'03_ABC_анализ'!F8</f>
        <v>0.66272480906627251</v>
      </c>
      <c r="F13" s="11" t="str">
        <f>'03_ABC_анализ'!G8</f>
        <v>A</v>
      </c>
      <c r="G13" s="11" t="str">
        <f>'03_ABC_анализ'!C8</f>
        <v>Икра</v>
      </c>
      <c r="H13" s="9" t="str">
        <f>IF(F13="A","Защищать ассортимент",IF(F13="B","Поддерживать","Пересмотр"))</f>
        <v>Защищать ассортимент</v>
      </c>
    </row>
    <row r="14" spans="1:8" x14ac:dyDescent="0.2">
      <c r="A14" s="11">
        <v>5</v>
      </c>
      <c r="B14" s="9" t="str">
        <f>'03_ABC_анализ'!B9</f>
        <v>Малёк форели 5-10г, оптом</v>
      </c>
      <c r="C14" s="12">
        <f>'03_ABC_анализ'!D9</f>
        <v>7400000</v>
      </c>
      <c r="D14" s="8">
        <f>'03_ABC_анализ'!E9</f>
        <v>9.1155457009115551E-2</v>
      </c>
      <c r="E14" s="8">
        <f>'03_ABC_анализ'!F9</f>
        <v>0.75388026607538805</v>
      </c>
      <c r="F14" s="11" t="str">
        <f>'03_ABC_анализ'!G9</f>
        <v>A</v>
      </c>
      <c r="G14" s="11" t="str">
        <f>'03_ABC_анализ'!C9</f>
        <v>Малёк</v>
      </c>
      <c r="H14" s="9" t="str">
        <f>IF(F14="A","Защищать ассортимент",IF(F14="B","Поддерживать","Пересмотр"))</f>
        <v>Защищать ассортимент</v>
      </c>
    </row>
    <row r="16" spans="1:8" ht="17" x14ac:dyDescent="0.2">
      <c r="A16" s="19" t="s">
        <v>318</v>
      </c>
      <c r="B16" s="20"/>
      <c r="C16" s="20"/>
      <c r="D16" s="20"/>
      <c r="E16" s="20"/>
      <c r="F16" s="20"/>
      <c r="G16" s="20"/>
      <c r="H16" s="21"/>
    </row>
    <row r="17" spans="1:8" ht="16" x14ac:dyDescent="0.2">
      <c r="A17" s="4" t="s">
        <v>316</v>
      </c>
      <c r="B17" s="4" t="s">
        <v>319</v>
      </c>
      <c r="C17" s="4" t="s">
        <v>320</v>
      </c>
      <c r="D17" s="4" t="s">
        <v>321</v>
      </c>
      <c r="E17" s="4" t="s">
        <v>322</v>
      </c>
      <c r="F17" s="4" t="s">
        <v>323</v>
      </c>
      <c r="G17" s="4" t="s">
        <v>259</v>
      </c>
      <c r="H17" s="4"/>
    </row>
    <row r="18" spans="1:8" x14ac:dyDescent="0.2">
      <c r="A18" s="11">
        <v>1</v>
      </c>
      <c r="B18" s="9" t="str">
        <f>'09_Импортозамещение'!A7</f>
        <v>Корма стартовые (хетчеринг)</v>
      </c>
      <c r="C18" s="12">
        <f>'09_Импортозамещение'!B7</f>
        <v>2400000000</v>
      </c>
      <c r="D18" s="13">
        <f>'09_Импортозамещение'!C7</f>
        <v>0.75</v>
      </c>
      <c r="E18" s="13">
        <f>'09_Импортозамещение'!E7</f>
        <v>1.22</v>
      </c>
      <c r="F18" s="6">
        <f>'09_Импортозамещение'!G7</f>
        <v>439.2</v>
      </c>
      <c r="G18" s="9" t="str">
        <f>'09_Импортозамещение'!H7</f>
        <v>WAIT: проработать партнёрство</v>
      </c>
    </row>
    <row r="19" spans="1:8" x14ac:dyDescent="0.2">
      <c r="A19" s="11">
        <v>2</v>
      </c>
      <c r="B19" s="9" t="str">
        <f>'09_Импортозамещение'!A8</f>
        <v>Корма продукционные</v>
      </c>
      <c r="C19" s="12">
        <f>'09_Импортозамещение'!B8</f>
        <v>7800000000</v>
      </c>
      <c r="D19" s="13">
        <f>'09_Импортозамещение'!C8</f>
        <v>0.65</v>
      </c>
      <c r="E19" s="13">
        <f>'09_Импортозамещение'!E8</f>
        <v>1.1499999999999999</v>
      </c>
      <c r="F19" s="6">
        <f>'09_Импортозамещение'!G8</f>
        <v>1457.625</v>
      </c>
      <c r="G19" s="9" t="str">
        <f>'09_Импортозамещение'!H8</f>
        <v>GO: целевая ниша</v>
      </c>
    </row>
    <row r="20" spans="1:8" x14ac:dyDescent="0.2">
      <c r="A20" s="11">
        <v>3</v>
      </c>
      <c r="B20" s="9" t="str">
        <f>'09_Импортозамещение'!A10</f>
        <v>УЗВ-оборудование, промышленные</v>
      </c>
      <c r="C20" s="12">
        <f>'09_Импортозамещение'!B10</f>
        <v>2500000000</v>
      </c>
      <c r="D20" s="13">
        <f>'09_Импортозамещение'!C10</f>
        <v>0.85</v>
      </c>
      <c r="E20" s="13">
        <f>'09_Импортозамещение'!E10</f>
        <v>1.25</v>
      </c>
      <c r="F20" s="6">
        <f>'09_Импортозамещение'!G10</f>
        <v>531.25</v>
      </c>
      <c r="G20" s="9" t="str">
        <f>'09_Импортозамещение'!H10</f>
        <v>GO: целевая ниша</v>
      </c>
    </row>
    <row r="40" spans="1:8" ht="30" customHeight="1" x14ac:dyDescent="0.2">
      <c r="A40" s="17" t="s">
        <v>324</v>
      </c>
      <c r="B40" s="18"/>
      <c r="C40" s="18"/>
      <c r="D40" s="18"/>
      <c r="E40" s="18"/>
      <c r="F40" s="18"/>
      <c r="G40" s="18"/>
      <c r="H40" s="18"/>
    </row>
  </sheetData>
  <mergeCells count="12">
    <mergeCell ref="A40:H40"/>
    <mergeCell ref="A4:B4"/>
    <mergeCell ref="G4:H4"/>
    <mergeCell ref="E4:F4"/>
    <mergeCell ref="A2:H2"/>
    <mergeCell ref="A16:H16"/>
    <mergeCell ref="C4:D4"/>
    <mergeCell ref="C5:D6"/>
    <mergeCell ref="A5:B6"/>
    <mergeCell ref="G5:H6"/>
    <mergeCell ref="E5:F6"/>
    <mergeCell ref="A8:H8"/>
  </mergeCells>
  <pageMargins left="0.4" right="0.4" top="0.4" bottom="0.4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01_Цены_конкурентов</vt:lpstr>
      <vt:lpstr>02_Сравнение_поставщиков</vt:lpstr>
      <vt:lpstr>03_ABC_анализ</vt:lpstr>
      <vt:lpstr>04_XYZ_анализ</vt:lpstr>
      <vt:lpstr>05_ABC_XYZ_матрица</vt:lpstr>
      <vt:lpstr>06_Юнит_экономика</vt:lpstr>
      <vt:lpstr>07_ROI_новый_продукт</vt:lpstr>
      <vt:lpstr>08_Сезонность</vt:lpstr>
      <vt:lpstr>09_Импортозамещение</vt:lpstr>
      <vt:lpstr>10_Бенчмарк_стран</vt:lpstr>
      <vt:lpstr>11_Дашборд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Руслан Фролов</cp:lastModifiedBy>
  <dcterms:created xsi:type="dcterms:W3CDTF">2026-04-30T22:36:44Z</dcterms:created>
  <dcterms:modified xsi:type="dcterms:W3CDTF">2026-05-01T12:30:14Z</dcterms:modified>
</cp:coreProperties>
</file>
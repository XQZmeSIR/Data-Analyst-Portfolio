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xqzme/Desktop/Data-Analyst-Portfolio/Excel/"/>
    </mc:Choice>
  </mc:AlternateContent>
  <xr:revisionPtr revIDLastSave="0" documentId="8_{6795C5F8-3EE9-9B48-B34B-E4581AE2D93C}" xr6:coauthVersionLast="47" xr6:coauthVersionMax="47" xr10:uidLastSave="{00000000-0000-0000-0000-000000000000}"/>
  <bookViews>
    <workbookView xWindow="1320" yWindow="1460" windowWidth="28040" windowHeight="17440" activeTab="1" xr2:uid="{8B3AA886-93F3-4B4D-84B3-754966564BA8}"/>
  </bookViews>
  <sheets>
    <sheet name="Sheet1" sheetId="1" r:id="rId1"/>
    <sheet name="Data" sheetId="2" r:id="rId2"/>
    <sheet name="ABC_XYZ" sheetId="3" r:id="rId3"/>
    <sheet name="Seasonality" sheetId="4" r:id="rId4"/>
    <sheet name="Unit_Economics" sheetId="5" r:id="rId5"/>
    <sheet name="Cheat_Sheet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2" l="1"/>
  <c r="B6" i="5"/>
  <c r="C6" i="5"/>
  <c r="B5" i="5"/>
  <c r="C5" i="5"/>
  <c r="B4" i="5"/>
  <c r="C4" i="5"/>
  <c r="B3" i="5"/>
  <c r="C3" i="5"/>
  <c r="B2" i="5"/>
  <c r="C2" i="5"/>
  <c r="B13" i="4"/>
  <c r="B12" i="4"/>
  <c r="B11" i="4"/>
  <c r="B10" i="4"/>
  <c r="B9" i="4"/>
  <c r="B8" i="4"/>
  <c r="B7" i="4"/>
  <c r="B6" i="4"/>
  <c r="B5" i="4"/>
  <c r="B4" i="4"/>
  <c r="B3" i="4"/>
  <c r="C2" i="4" s="1"/>
  <c r="B2" i="4"/>
  <c r="A3" i="3"/>
  <c r="B3" i="3"/>
  <c r="C3" i="3" s="1"/>
  <c r="F3" i="3"/>
  <c r="G3" i="3" s="1"/>
  <c r="A4" i="3"/>
  <c r="B4" i="3"/>
  <c r="C4" i="3" s="1"/>
  <c r="F4" i="3"/>
  <c r="G4" i="3" s="1"/>
  <c r="A5" i="3"/>
  <c r="B5" i="3"/>
  <c r="C5" i="3"/>
  <c r="F5" i="3"/>
  <c r="G5" i="3" s="1"/>
  <c r="A6" i="3"/>
  <c r="B6" i="3"/>
  <c r="C6" i="3" s="1"/>
  <c r="F6" i="3"/>
  <c r="G6" i="3" s="1"/>
  <c r="A7" i="3"/>
  <c r="B7" i="3"/>
  <c r="C7" i="3" s="1"/>
  <c r="F7" i="3"/>
  <c r="G7" i="3"/>
  <c r="A8" i="3"/>
  <c r="B8" i="3"/>
  <c r="C8" i="3" s="1"/>
  <c r="F8" i="3"/>
  <c r="G8" i="3" s="1"/>
  <c r="A9" i="3"/>
  <c r="B9" i="3"/>
  <c r="C9" i="3" s="1"/>
  <c r="D27" i="3" s="1"/>
  <c r="E27" i="3" s="1"/>
  <c r="H27" i="3" s="1"/>
  <c r="F9" i="3"/>
  <c r="G9" i="3" s="1"/>
  <c r="A10" i="3"/>
  <c r="B10" i="3"/>
  <c r="C10" i="3"/>
  <c r="F10" i="3"/>
  <c r="G10" i="3" s="1"/>
  <c r="A11" i="3"/>
  <c r="B11" i="3"/>
  <c r="C11" i="3" s="1"/>
  <c r="F11" i="3"/>
  <c r="G11" i="3" s="1"/>
  <c r="A12" i="3"/>
  <c r="B12" i="3"/>
  <c r="C12" i="3" s="1"/>
  <c r="F12" i="3"/>
  <c r="G12" i="3"/>
  <c r="A13" i="3"/>
  <c r="B13" i="3"/>
  <c r="C13" i="3" s="1"/>
  <c r="F13" i="3"/>
  <c r="G13" i="3" s="1"/>
  <c r="A14" i="3"/>
  <c r="B14" i="3"/>
  <c r="C14" i="3" s="1"/>
  <c r="F14" i="3"/>
  <c r="G14" i="3" s="1"/>
  <c r="A15" i="3"/>
  <c r="B15" i="3"/>
  <c r="C15" i="3"/>
  <c r="F15" i="3"/>
  <c r="G15" i="3" s="1"/>
  <c r="A16" i="3"/>
  <c r="B16" i="3"/>
  <c r="C16" i="3" s="1"/>
  <c r="F16" i="3"/>
  <c r="G16" i="3" s="1"/>
  <c r="A17" i="3"/>
  <c r="B17" i="3"/>
  <c r="C17" i="3" s="1"/>
  <c r="F17" i="3"/>
  <c r="G17" i="3"/>
  <c r="A18" i="3"/>
  <c r="B18" i="3"/>
  <c r="C18" i="3" s="1"/>
  <c r="F18" i="3"/>
  <c r="G18" i="3" s="1"/>
  <c r="A19" i="3"/>
  <c r="B19" i="3"/>
  <c r="C19" i="3" s="1"/>
  <c r="F19" i="3"/>
  <c r="G19" i="3" s="1"/>
  <c r="A20" i="3"/>
  <c r="B20" i="3"/>
  <c r="C20" i="3"/>
  <c r="F20" i="3"/>
  <c r="G20" i="3" s="1"/>
  <c r="A21" i="3"/>
  <c r="B21" i="3"/>
  <c r="C21" i="3" s="1"/>
  <c r="F21" i="3"/>
  <c r="G21" i="3" s="1"/>
  <c r="A22" i="3"/>
  <c r="B22" i="3"/>
  <c r="C22" i="3" s="1"/>
  <c r="F22" i="3"/>
  <c r="G22" i="3"/>
  <c r="A23" i="3"/>
  <c r="B23" i="3"/>
  <c r="C23" i="3" s="1"/>
  <c r="F23" i="3"/>
  <c r="G23" i="3" s="1"/>
  <c r="A24" i="3"/>
  <c r="B24" i="3"/>
  <c r="C24" i="3" s="1"/>
  <c r="F24" i="3"/>
  <c r="G24" i="3" s="1"/>
  <c r="A25" i="3"/>
  <c r="B25" i="3"/>
  <c r="C25" i="3"/>
  <c r="F25" i="3"/>
  <c r="G25" i="3" s="1"/>
  <c r="A26" i="3"/>
  <c r="B26" i="3"/>
  <c r="C26" i="3" s="1"/>
  <c r="F26" i="3"/>
  <c r="G26" i="3" s="1"/>
  <c r="A27" i="3"/>
  <c r="B27" i="3"/>
  <c r="C27" i="3" s="1"/>
  <c r="F27" i="3"/>
  <c r="G27" i="3"/>
  <c r="A28" i="3"/>
  <c r="B28" i="3"/>
  <c r="C28" i="3" s="1"/>
  <c r="F28" i="3"/>
  <c r="G28" i="3" s="1"/>
  <c r="A29" i="3"/>
  <c r="B29" i="3"/>
  <c r="C29" i="3" s="1"/>
  <c r="F29" i="3"/>
  <c r="G29" i="3" s="1"/>
  <c r="A30" i="3"/>
  <c r="B30" i="3"/>
  <c r="C30" i="3"/>
  <c r="F30" i="3"/>
  <c r="G30" i="3" s="1"/>
  <c r="A31" i="3"/>
  <c r="B31" i="3"/>
  <c r="C31" i="3" s="1"/>
  <c r="F31" i="3"/>
  <c r="G31" i="3" s="1"/>
  <c r="A32" i="3"/>
  <c r="B32" i="3"/>
  <c r="C32" i="3" s="1"/>
  <c r="F32" i="3"/>
  <c r="G32" i="3"/>
  <c r="A33" i="3"/>
  <c r="B33" i="3"/>
  <c r="C33" i="3" s="1"/>
  <c r="F33" i="3"/>
  <c r="G33" i="3" s="1"/>
  <c r="A34" i="3"/>
  <c r="B34" i="3"/>
  <c r="C34" i="3" s="1"/>
  <c r="F34" i="3"/>
  <c r="G34" i="3" s="1"/>
  <c r="A35" i="3"/>
  <c r="B35" i="3"/>
  <c r="C35" i="3"/>
  <c r="F35" i="3"/>
  <c r="G35" i="3" s="1"/>
  <c r="A36" i="3"/>
  <c r="B36" i="3"/>
  <c r="C36" i="3" s="1"/>
  <c r="F36" i="3"/>
  <c r="G36" i="3" s="1"/>
  <c r="A37" i="3"/>
  <c r="B37" i="3"/>
  <c r="C37" i="3" s="1"/>
  <c r="F37" i="3"/>
  <c r="G37" i="3"/>
  <c r="A38" i="3"/>
  <c r="B38" i="3"/>
  <c r="C38" i="3" s="1"/>
  <c r="F38" i="3"/>
  <c r="G38" i="3" s="1"/>
  <c r="A39" i="3"/>
  <c r="B39" i="3"/>
  <c r="C39" i="3" s="1"/>
  <c r="F39" i="3"/>
  <c r="G39" i="3" s="1"/>
  <c r="A40" i="3"/>
  <c r="B40" i="3"/>
  <c r="C40" i="3"/>
  <c r="F40" i="3"/>
  <c r="G40" i="3" s="1"/>
  <c r="A41" i="3"/>
  <c r="B41" i="3"/>
  <c r="C41" i="3" s="1"/>
  <c r="F41" i="3"/>
  <c r="G41" i="3" s="1"/>
  <c r="A42" i="3"/>
  <c r="B42" i="3"/>
  <c r="C42" i="3" s="1"/>
  <c r="F42" i="3"/>
  <c r="G42" i="3"/>
  <c r="A43" i="3"/>
  <c r="B43" i="3"/>
  <c r="C43" i="3" s="1"/>
  <c r="F43" i="3"/>
  <c r="G43" i="3" s="1"/>
  <c r="A44" i="3"/>
  <c r="B44" i="3"/>
  <c r="C44" i="3" s="1"/>
  <c r="F44" i="3"/>
  <c r="G44" i="3" s="1"/>
  <c r="A45" i="3"/>
  <c r="B45" i="3"/>
  <c r="C45" i="3"/>
  <c r="F45" i="3"/>
  <c r="G45" i="3" s="1"/>
  <c r="A46" i="3"/>
  <c r="B46" i="3"/>
  <c r="C46" i="3" s="1"/>
  <c r="F46" i="3"/>
  <c r="G46" i="3" s="1"/>
  <c r="A47" i="3"/>
  <c r="B47" i="3"/>
  <c r="C47" i="3" s="1"/>
  <c r="F47" i="3"/>
  <c r="G47" i="3"/>
  <c r="A48" i="3"/>
  <c r="B48" i="3"/>
  <c r="C48" i="3" s="1"/>
  <c r="F48" i="3"/>
  <c r="G48" i="3" s="1"/>
  <c r="A49" i="3"/>
  <c r="B49" i="3"/>
  <c r="C49" i="3" s="1"/>
  <c r="F49" i="3"/>
  <c r="G49" i="3" s="1"/>
  <c r="A50" i="3"/>
  <c r="B50" i="3"/>
  <c r="C50" i="3"/>
  <c r="F50" i="3"/>
  <c r="G50" i="3" s="1"/>
  <c r="A51" i="3"/>
  <c r="B51" i="3"/>
  <c r="C51" i="3" s="1"/>
  <c r="F51" i="3"/>
  <c r="G51" i="3" s="1"/>
  <c r="A52" i="3"/>
  <c r="B52" i="3"/>
  <c r="C52" i="3" s="1"/>
  <c r="D52" i="3"/>
  <c r="E52" i="3" s="1"/>
  <c r="H52" i="3" s="1"/>
  <c r="F52" i="3"/>
  <c r="G52" i="3"/>
  <c r="A53" i="3"/>
  <c r="B53" i="3"/>
  <c r="C53" i="3" s="1"/>
  <c r="F53" i="3"/>
  <c r="G53" i="3" s="1"/>
  <c r="A54" i="3"/>
  <c r="B54" i="3"/>
  <c r="C54" i="3" s="1"/>
  <c r="F54" i="3"/>
  <c r="G54" i="3" s="1"/>
  <c r="A55" i="3"/>
  <c r="B55" i="3"/>
  <c r="C55" i="3"/>
  <c r="F55" i="3"/>
  <c r="G55" i="3" s="1"/>
  <c r="A56" i="3"/>
  <c r="B56" i="3"/>
  <c r="C56" i="3" s="1"/>
  <c r="F56" i="3"/>
  <c r="G56" i="3" s="1"/>
  <c r="A57" i="3"/>
  <c r="B57" i="3"/>
  <c r="C57" i="3" s="1"/>
  <c r="F57" i="3"/>
  <c r="G57" i="3"/>
  <c r="A58" i="3"/>
  <c r="B58" i="3"/>
  <c r="C58" i="3" s="1"/>
  <c r="F58" i="3"/>
  <c r="G58" i="3" s="1"/>
  <c r="A59" i="3"/>
  <c r="B59" i="3"/>
  <c r="C59" i="3" s="1"/>
  <c r="F59" i="3"/>
  <c r="G59" i="3" s="1"/>
  <c r="A60" i="3"/>
  <c r="B60" i="3"/>
  <c r="C60" i="3"/>
  <c r="F60" i="3"/>
  <c r="G60" i="3" s="1"/>
  <c r="A61" i="3"/>
  <c r="B61" i="3"/>
  <c r="C61" i="3" s="1"/>
  <c r="F61" i="3"/>
  <c r="G61" i="3" s="1"/>
  <c r="A62" i="3"/>
  <c r="B62" i="3"/>
  <c r="C62" i="3" s="1"/>
  <c r="F62" i="3"/>
  <c r="G62" i="3"/>
  <c r="A63" i="3"/>
  <c r="B63" i="3"/>
  <c r="C63" i="3" s="1"/>
  <c r="F63" i="3"/>
  <c r="G63" i="3" s="1"/>
  <c r="A64" i="3"/>
  <c r="B64" i="3"/>
  <c r="C64" i="3" s="1"/>
  <c r="F64" i="3"/>
  <c r="G64" i="3" s="1"/>
  <c r="A65" i="3"/>
  <c r="B65" i="3"/>
  <c r="C65" i="3"/>
  <c r="F65" i="3"/>
  <c r="G65" i="3" s="1"/>
  <c r="A66" i="3"/>
  <c r="B66" i="3"/>
  <c r="C66" i="3" s="1"/>
  <c r="F66" i="3"/>
  <c r="G66" i="3" s="1"/>
  <c r="A67" i="3"/>
  <c r="B67" i="3"/>
  <c r="C67" i="3" s="1"/>
  <c r="F67" i="3"/>
  <c r="G67" i="3"/>
  <c r="A68" i="3"/>
  <c r="B68" i="3"/>
  <c r="C68" i="3" s="1"/>
  <c r="F68" i="3"/>
  <c r="G68" i="3" s="1"/>
  <c r="A69" i="3"/>
  <c r="B69" i="3"/>
  <c r="C69" i="3" s="1"/>
  <c r="F69" i="3"/>
  <c r="G69" i="3" s="1"/>
  <c r="A70" i="3"/>
  <c r="B70" i="3"/>
  <c r="C70" i="3"/>
  <c r="F70" i="3"/>
  <c r="G70" i="3" s="1"/>
  <c r="A71" i="3"/>
  <c r="B71" i="3"/>
  <c r="C71" i="3" s="1"/>
  <c r="F71" i="3"/>
  <c r="G71" i="3" s="1"/>
  <c r="A72" i="3"/>
  <c r="B72" i="3"/>
  <c r="C72" i="3" s="1"/>
  <c r="F72" i="3"/>
  <c r="G72" i="3"/>
  <c r="A73" i="3"/>
  <c r="B73" i="3"/>
  <c r="C73" i="3" s="1"/>
  <c r="F73" i="3"/>
  <c r="G73" i="3" s="1"/>
  <c r="A74" i="3"/>
  <c r="B74" i="3"/>
  <c r="C74" i="3" s="1"/>
  <c r="F74" i="3"/>
  <c r="G74" i="3" s="1"/>
  <c r="A75" i="3"/>
  <c r="B75" i="3"/>
  <c r="C75" i="3"/>
  <c r="F75" i="3"/>
  <c r="G75" i="3" s="1"/>
  <c r="A76" i="3"/>
  <c r="B76" i="3"/>
  <c r="C76" i="3" s="1"/>
  <c r="F76" i="3"/>
  <c r="G76" i="3" s="1"/>
  <c r="A77" i="3"/>
  <c r="B77" i="3"/>
  <c r="C77" i="3" s="1"/>
  <c r="D77" i="3"/>
  <c r="E77" i="3" s="1"/>
  <c r="H77" i="3" s="1"/>
  <c r="F77" i="3"/>
  <c r="G77" i="3"/>
  <c r="A78" i="3"/>
  <c r="B78" i="3"/>
  <c r="C78" i="3" s="1"/>
  <c r="F78" i="3"/>
  <c r="G78" i="3" s="1"/>
  <c r="A79" i="3"/>
  <c r="B79" i="3"/>
  <c r="C79" i="3" s="1"/>
  <c r="F79" i="3"/>
  <c r="G79" i="3" s="1"/>
  <c r="A80" i="3"/>
  <c r="B80" i="3"/>
  <c r="C80" i="3"/>
  <c r="F80" i="3"/>
  <c r="G80" i="3" s="1"/>
  <c r="A81" i="3"/>
  <c r="B81" i="3"/>
  <c r="C81" i="3" s="1"/>
  <c r="F81" i="3"/>
  <c r="G81" i="3" s="1"/>
  <c r="A82" i="3"/>
  <c r="B82" i="3"/>
  <c r="C82" i="3" s="1"/>
  <c r="F82" i="3"/>
  <c r="G82" i="3"/>
  <c r="A83" i="3"/>
  <c r="B83" i="3"/>
  <c r="C83" i="3" s="1"/>
  <c r="F83" i="3"/>
  <c r="G83" i="3" s="1"/>
  <c r="A84" i="3"/>
  <c r="B84" i="3"/>
  <c r="C84" i="3" s="1"/>
  <c r="F84" i="3"/>
  <c r="G84" i="3" s="1"/>
  <c r="A85" i="3"/>
  <c r="B85" i="3"/>
  <c r="C85" i="3"/>
  <c r="F85" i="3"/>
  <c r="G85" i="3" s="1"/>
  <c r="A86" i="3"/>
  <c r="B86" i="3"/>
  <c r="C86" i="3" s="1"/>
  <c r="F86" i="3"/>
  <c r="G86" i="3" s="1"/>
  <c r="A87" i="3"/>
  <c r="B87" i="3"/>
  <c r="C87" i="3" s="1"/>
  <c r="F87" i="3"/>
  <c r="G87" i="3"/>
  <c r="A88" i="3"/>
  <c r="B88" i="3"/>
  <c r="C88" i="3" s="1"/>
  <c r="F88" i="3"/>
  <c r="G88" i="3" s="1"/>
  <c r="A89" i="3"/>
  <c r="B89" i="3"/>
  <c r="C89" i="3" s="1"/>
  <c r="F89" i="3"/>
  <c r="G89" i="3" s="1"/>
  <c r="A90" i="3"/>
  <c r="B90" i="3"/>
  <c r="C90" i="3"/>
  <c r="F90" i="3"/>
  <c r="G90" i="3" s="1"/>
  <c r="A91" i="3"/>
  <c r="B91" i="3"/>
  <c r="C91" i="3" s="1"/>
  <c r="F91" i="3"/>
  <c r="G91" i="3" s="1"/>
  <c r="A92" i="3"/>
  <c r="B92" i="3"/>
  <c r="C92" i="3" s="1"/>
  <c r="F92" i="3"/>
  <c r="G92" i="3"/>
  <c r="A93" i="3"/>
  <c r="B93" i="3"/>
  <c r="C93" i="3" s="1"/>
  <c r="F93" i="3"/>
  <c r="G93" i="3" s="1"/>
  <c r="A94" i="3"/>
  <c r="B94" i="3"/>
  <c r="C94" i="3" s="1"/>
  <c r="F94" i="3"/>
  <c r="G94" i="3" s="1"/>
  <c r="A95" i="3"/>
  <c r="B95" i="3"/>
  <c r="C95" i="3"/>
  <c r="F95" i="3"/>
  <c r="G95" i="3" s="1"/>
  <c r="A96" i="3"/>
  <c r="B96" i="3"/>
  <c r="C96" i="3" s="1"/>
  <c r="F96" i="3"/>
  <c r="G96" i="3" s="1"/>
  <c r="A97" i="3"/>
  <c r="B97" i="3"/>
  <c r="C97" i="3" s="1"/>
  <c r="F97" i="3"/>
  <c r="G97" i="3"/>
  <c r="A98" i="3"/>
  <c r="B98" i="3"/>
  <c r="C98" i="3" s="1"/>
  <c r="F98" i="3"/>
  <c r="G98" i="3" s="1"/>
  <c r="A99" i="3"/>
  <c r="B99" i="3"/>
  <c r="C99" i="3" s="1"/>
  <c r="F99" i="3"/>
  <c r="G99" i="3" s="1"/>
  <c r="A100" i="3"/>
  <c r="B100" i="3"/>
  <c r="C100" i="3"/>
  <c r="F100" i="3"/>
  <c r="G100" i="3" s="1"/>
  <c r="A101" i="3"/>
  <c r="B101" i="3"/>
  <c r="C101" i="3" s="1"/>
  <c r="F101" i="3"/>
  <c r="G101" i="3" s="1"/>
  <c r="A102" i="3"/>
  <c r="B102" i="3"/>
  <c r="C102" i="3" s="1"/>
  <c r="D102" i="3"/>
  <c r="E102" i="3" s="1"/>
  <c r="H102" i="3" s="1"/>
  <c r="F102" i="3"/>
  <c r="G102" i="3"/>
  <c r="A103" i="3"/>
  <c r="B103" i="3"/>
  <c r="C103" i="3" s="1"/>
  <c r="F103" i="3"/>
  <c r="G103" i="3" s="1"/>
  <c r="A104" i="3"/>
  <c r="B104" i="3"/>
  <c r="C104" i="3" s="1"/>
  <c r="D104" i="3"/>
  <c r="E104" i="3" s="1"/>
  <c r="H104" i="3" s="1"/>
  <c r="F104" i="3"/>
  <c r="G104" i="3" s="1"/>
  <c r="A105" i="3"/>
  <c r="B105" i="3"/>
  <c r="C105" i="3"/>
  <c r="F105" i="3"/>
  <c r="G105" i="3" s="1"/>
  <c r="A106" i="3"/>
  <c r="B106" i="3"/>
  <c r="C106" i="3" s="1"/>
  <c r="F106" i="3"/>
  <c r="G106" i="3" s="1"/>
  <c r="A107" i="3"/>
  <c r="B107" i="3"/>
  <c r="C107" i="3" s="1"/>
  <c r="F107" i="3"/>
  <c r="G107" i="3"/>
  <c r="A108" i="3"/>
  <c r="B108" i="3"/>
  <c r="C108" i="3" s="1"/>
  <c r="F108" i="3"/>
  <c r="G108" i="3" s="1"/>
  <c r="A109" i="3"/>
  <c r="B109" i="3"/>
  <c r="C109" i="3" s="1"/>
  <c r="F109" i="3"/>
  <c r="G109" i="3" s="1"/>
  <c r="A110" i="3"/>
  <c r="B110" i="3"/>
  <c r="C110" i="3"/>
  <c r="F110" i="3"/>
  <c r="G110" i="3" s="1"/>
  <c r="A111" i="3"/>
  <c r="B111" i="3"/>
  <c r="C111" i="3" s="1"/>
  <c r="F111" i="3"/>
  <c r="G111" i="3" s="1"/>
  <c r="A112" i="3"/>
  <c r="B112" i="3"/>
  <c r="C112" i="3" s="1"/>
  <c r="F112" i="3"/>
  <c r="G112" i="3"/>
  <c r="A113" i="3"/>
  <c r="B113" i="3"/>
  <c r="C113" i="3" s="1"/>
  <c r="F113" i="3"/>
  <c r="G113" i="3" s="1"/>
  <c r="A114" i="3"/>
  <c r="B114" i="3"/>
  <c r="C114" i="3" s="1"/>
  <c r="F114" i="3"/>
  <c r="G114" i="3" s="1"/>
  <c r="A115" i="3"/>
  <c r="B115" i="3"/>
  <c r="C115" i="3"/>
  <c r="F115" i="3"/>
  <c r="G115" i="3" s="1"/>
  <c r="A116" i="3"/>
  <c r="B116" i="3"/>
  <c r="C116" i="3" s="1"/>
  <c r="F116" i="3"/>
  <c r="G116" i="3" s="1"/>
  <c r="A117" i="3"/>
  <c r="B117" i="3"/>
  <c r="C117" i="3" s="1"/>
  <c r="F117" i="3"/>
  <c r="G117" i="3"/>
  <c r="A118" i="3"/>
  <c r="B118" i="3"/>
  <c r="C118" i="3" s="1"/>
  <c r="F118" i="3"/>
  <c r="G118" i="3" s="1"/>
  <c r="A119" i="3"/>
  <c r="B119" i="3"/>
  <c r="C119" i="3" s="1"/>
  <c r="F119" i="3"/>
  <c r="G119" i="3" s="1"/>
  <c r="A120" i="3"/>
  <c r="B120" i="3"/>
  <c r="C120" i="3"/>
  <c r="F120" i="3"/>
  <c r="G120" i="3" s="1"/>
  <c r="A121" i="3"/>
  <c r="B121" i="3"/>
  <c r="C121" i="3" s="1"/>
  <c r="F121" i="3"/>
  <c r="G121" i="3" s="1"/>
  <c r="G2" i="3"/>
  <c r="F2" i="3"/>
  <c r="B2" i="3"/>
  <c r="C2" i="3" s="1"/>
  <c r="D3" i="3" s="1"/>
  <c r="E3" i="3" s="1"/>
  <c r="H3" i="3" s="1"/>
  <c r="A2" i="3"/>
  <c r="D12" i="4" l="1"/>
  <c r="D7" i="4"/>
  <c r="D2" i="4"/>
  <c r="D9" i="4"/>
  <c r="D4" i="4"/>
  <c r="D11" i="4"/>
  <c r="D6" i="4"/>
  <c r="D13" i="4"/>
  <c r="D5" i="4"/>
  <c r="D10" i="4"/>
  <c r="D3" i="4"/>
  <c r="D8" i="4"/>
  <c r="D38" i="3"/>
  <c r="E38" i="3" s="1"/>
  <c r="H38" i="3" s="1"/>
  <c r="D13" i="3"/>
  <c r="E13" i="3" s="1"/>
  <c r="H13" i="3" s="1"/>
  <c r="D119" i="3"/>
  <c r="E119" i="3" s="1"/>
  <c r="H119" i="3" s="1"/>
  <c r="D117" i="3"/>
  <c r="E117" i="3" s="1"/>
  <c r="H117" i="3" s="1"/>
  <c r="D115" i="3"/>
  <c r="E115" i="3" s="1"/>
  <c r="H115" i="3" s="1"/>
  <c r="D113" i="3"/>
  <c r="E113" i="3" s="1"/>
  <c r="H113" i="3" s="1"/>
  <c r="D97" i="3"/>
  <c r="E97" i="3" s="1"/>
  <c r="H97" i="3" s="1"/>
  <c r="D72" i="3"/>
  <c r="E72" i="3" s="1"/>
  <c r="H72" i="3" s="1"/>
  <c r="D47" i="3"/>
  <c r="E47" i="3" s="1"/>
  <c r="H47" i="3" s="1"/>
  <c r="D22" i="3"/>
  <c r="E22" i="3" s="1"/>
  <c r="H22" i="3" s="1"/>
  <c r="D63" i="3"/>
  <c r="E63" i="3" s="1"/>
  <c r="H63" i="3" s="1"/>
  <c r="D83" i="3"/>
  <c r="E83" i="3" s="1"/>
  <c r="H83" i="3" s="1"/>
  <c r="D33" i="3"/>
  <c r="E33" i="3" s="1"/>
  <c r="H33" i="3" s="1"/>
  <c r="D8" i="3"/>
  <c r="E8" i="3" s="1"/>
  <c r="H8" i="3" s="1"/>
  <c r="D58" i="3"/>
  <c r="E58" i="3" s="1"/>
  <c r="H58" i="3" s="1"/>
  <c r="D109" i="3"/>
  <c r="E109" i="3" s="1"/>
  <c r="H109" i="3" s="1"/>
  <c r="D107" i="3"/>
  <c r="E107" i="3" s="1"/>
  <c r="H107" i="3" s="1"/>
  <c r="D105" i="3"/>
  <c r="E105" i="3" s="1"/>
  <c r="H105" i="3" s="1"/>
  <c r="D103" i="3"/>
  <c r="E103" i="3" s="1"/>
  <c r="H103" i="3" s="1"/>
  <c r="D92" i="3"/>
  <c r="E92" i="3" s="1"/>
  <c r="H92" i="3" s="1"/>
  <c r="D67" i="3"/>
  <c r="E67" i="3" s="1"/>
  <c r="H67" i="3" s="1"/>
  <c r="D42" i="3"/>
  <c r="E42" i="3" s="1"/>
  <c r="H42" i="3" s="1"/>
  <c r="D17" i="3"/>
  <c r="E17" i="3" s="1"/>
  <c r="H17" i="3" s="1"/>
  <c r="D78" i="3"/>
  <c r="E78" i="3" s="1"/>
  <c r="H78" i="3" s="1"/>
  <c r="D53" i="3"/>
  <c r="E53" i="3" s="1"/>
  <c r="H53" i="3" s="1"/>
  <c r="D28" i="3"/>
  <c r="E28" i="3" s="1"/>
  <c r="H28" i="3" s="1"/>
  <c r="D2" i="3"/>
  <c r="E2" i="3" s="1"/>
  <c r="H2" i="3" s="1"/>
  <c r="D121" i="3"/>
  <c r="E121" i="3" s="1"/>
  <c r="H121" i="3" s="1"/>
  <c r="D6" i="3"/>
  <c r="E6" i="3" s="1"/>
  <c r="H6" i="3" s="1"/>
  <c r="D11" i="3"/>
  <c r="E11" i="3" s="1"/>
  <c r="H11" i="3" s="1"/>
  <c r="D16" i="3"/>
  <c r="E16" i="3" s="1"/>
  <c r="H16" i="3" s="1"/>
  <c r="D21" i="3"/>
  <c r="E21" i="3" s="1"/>
  <c r="H21" i="3" s="1"/>
  <c r="D26" i="3"/>
  <c r="E26" i="3" s="1"/>
  <c r="H26" i="3" s="1"/>
  <c r="D31" i="3"/>
  <c r="E31" i="3" s="1"/>
  <c r="H31" i="3" s="1"/>
  <c r="D36" i="3"/>
  <c r="E36" i="3" s="1"/>
  <c r="H36" i="3" s="1"/>
  <c r="D41" i="3"/>
  <c r="E41" i="3" s="1"/>
  <c r="H41" i="3" s="1"/>
  <c r="D46" i="3"/>
  <c r="E46" i="3" s="1"/>
  <c r="H46" i="3" s="1"/>
  <c r="D51" i="3"/>
  <c r="E51" i="3" s="1"/>
  <c r="H51" i="3" s="1"/>
  <c r="D56" i="3"/>
  <c r="E56" i="3" s="1"/>
  <c r="H56" i="3" s="1"/>
  <c r="D61" i="3"/>
  <c r="E61" i="3" s="1"/>
  <c r="H61" i="3" s="1"/>
  <c r="D66" i="3"/>
  <c r="E66" i="3" s="1"/>
  <c r="H66" i="3" s="1"/>
  <c r="D71" i="3"/>
  <c r="E71" i="3" s="1"/>
  <c r="H71" i="3" s="1"/>
  <c r="D76" i="3"/>
  <c r="E76" i="3" s="1"/>
  <c r="H76" i="3" s="1"/>
  <c r="D81" i="3"/>
  <c r="E81" i="3" s="1"/>
  <c r="H81" i="3" s="1"/>
  <c r="D86" i="3"/>
  <c r="E86" i="3" s="1"/>
  <c r="H86" i="3" s="1"/>
  <c r="D91" i="3"/>
  <c r="E91" i="3" s="1"/>
  <c r="H91" i="3" s="1"/>
  <c r="D96" i="3"/>
  <c r="E96" i="3" s="1"/>
  <c r="H96" i="3" s="1"/>
  <c r="D101" i="3"/>
  <c r="E101" i="3" s="1"/>
  <c r="H101" i="3" s="1"/>
  <c r="D106" i="3"/>
  <c r="E106" i="3" s="1"/>
  <c r="H106" i="3" s="1"/>
  <c r="D111" i="3"/>
  <c r="E111" i="3" s="1"/>
  <c r="H111" i="3" s="1"/>
  <c r="D116" i="3"/>
  <c r="E116" i="3" s="1"/>
  <c r="H116" i="3" s="1"/>
  <c r="D5" i="3"/>
  <c r="E5" i="3" s="1"/>
  <c r="H5" i="3" s="1"/>
  <c r="D10" i="3"/>
  <c r="E10" i="3" s="1"/>
  <c r="H10" i="3" s="1"/>
  <c r="D15" i="3"/>
  <c r="E15" i="3" s="1"/>
  <c r="H15" i="3" s="1"/>
  <c r="D20" i="3"/>
  <c r="E20" i="3" s="1"/>
  <c r="H20" i="3" s="1"/>
  <c r="D25" i="3"/>
  <c r="E25" i="3" s="1"/>
  <c r="H25" i="3" s="1"/>
  <c r="D30" i="3"/>
  <c r="E30" i="3" s="1"/>
  <c r="H30" i="3" s="1"/>
  <c r="D35" i="3"/>
  <c r="E35" i="3" s="1"/>
  <c r="H35" i="3" s="1"/>
  <c r="D40" i="3"/>
  <c r="E40" i="3" s="1"/>
  <c r="H40" i="3" s="1"/>
  <c r="D45" i="3"/>
  <c r="E45" i="3" s="1"/>
  <c r="H45" i="3" s="1"/>
  <c r="D50" i="3"/>
  <c r="E50" i="3" s="1"/>
  <c r="H50" i="3" s="1"/>
  <c r="D55" i="3"/>
  <c r="E55" i="3" s="1"/>
  <c r="H55" i="3" s="1"/>
  <c r="D60" i="3"/>
  <c r="E60" i="3" s="1"/>
  <c r="H60" i="3" s="1"/>
  <c r="D65" i="3"/>
  <c r="E65" i="3" s="1"/>
  <c r="H65" i="3" s="1"/>
  <c r="D70" i="3"/>
  <c r="E70" i="3" s="1"/>
  <c r="H70" i="3" s="1"/>
  <c r="D75" i="3"/>
  <c r="E75" i="3" s="1"/>
  <c r="H75" i="3" s="1"/>
  <c r="D80" i="3"/>
  <c r="E80" i="3" s="1"/>
  <c r="H80" i="3" s="1"/>
  <c r="D85" i="3"/>
  <c r="E85" i="3" s="1"/>
  <c r="H85" i="3" s="1"/>
  <c r="D90" i="3"/>
  <c r="E90" i="3" s="1"/>
  <c r="H90" i="3" s="1"/>
  <c r="D95" i="3"/>
  <c r="E95" i="3" s="1"/>
  <c r="H95" i="3" s="1"/>
  <c r="D100" i="3"/>
  <c r="E100" i="3" s="1"/>
  <c r="H100" i="3" s="1"/>
  <c r="D69" i="3"/>
  <c r="E69" i="3" s="1"/>
  <c r="H69" i="3" s="1"/>
  <c r="D74" i="3"/>
  <c r="E74" i="3" s="1"/>
  <c r="H74" i="3" s="1"/>
  <c r="D99" i="3"/>
  <c r="E99" i="3" s="1"/>
  <c r="H99" i="3" s="1"/>
  <c r="D4" i="3"/>
  <c r="E4" i="3" s="1"/>
  <c r="H4" i="3" s="1"/>
  <c r="D9" i="3"/>
  <c r="E9" i="3" s="1"/>
  <c r="H9" i="3" s="1"/>
  <c r="D14" i="3"/>
  <c r="E14" i="3" s="1"/>
  <c r="H14" i="3" s="1"/>
  <c r="D19" i="3"/>
  <c r="E19" i="3" s="1"/>
  <c r="H19" i="3" s="1"/>
  <c r="D24" i="3"/>
  <c r="E24" i="3" s="1"/>
  <c r="H24" i="3" s="1"/>
  <c r="D29" i="3"/>
  <c r="E29" i="3" s="1"/>
  <c r="H29" i="3" s="1"/>
  <c r="D34" i="3"/>
  <c r="E34" i="3" s="1"/>
  <c r="H34" i="3" s="1"/>
  <c r="D39" i="3"/>
  <c r="E39" i="3" s="1"/>
  <c r="H39" i="3" s="1"/>
  <c r="D44" i="3"/>
  <c r="E44" i="3" s="1"/>
  <c r="H44" i="3" s="1"/>
  <c r="D49" i="3"/>
  <c r="E49" i="3" s="1"/>
  <c r="H49" i="3" s="1"/>
  <c r="D54" i="3"/>
  <c r="E54" i="3" s="1"/>
  <c r="H54" i="3" s="1"/>
  <c r="D59" i="3"/>
  <c r="E59" i="3" s="1"/>
  <c r="H59" i="3" s="1"/>
  <c r="D64" i="3"/>
  <c r="E64" i="3" s="1"/>
  <c r="H64" i="3" s="1"/>
  <c r="D79" i="3"/>
  <c r="E79" i="3" s="1"/>
  <c r="H79" i="3" s="1"/>
  <c r="D84" i="3"/>
  <c r="E84" i="3" s="1"/>
  <c r="H84" i="3" s="1"/>
  <c r="D89" i="3"/>
  <c r="E89" i="3" s="1"/>
  <c r="H89" i="3" s="1"/>
  <c r="D94" i="3"/>
  <c r="E94" i="3" s="1"/>
  <c r="H94" i="3" s="1"/>
  <c r="D120" i="3"/>
  <c r="E120" i="3" s="1"/>
  <c r="H120" i="3" s="1"/>
  <c r="D118" i="3"/>
  <c r="E118" i="3" s="1"/>
  <c r="H118" i="3" s="1"/>
  <c r="D87" i="3"/>
  <c r="E87" i="3" s="1"/>
  <c r="H87" i="3" s="1"/>
  <c r="D62" i="3"/>
  <c r="E62" i="3" s="1"/>
  <c r="H62" i="3" s="1"/>
  <c r="D37" i="3"/>
  <c r="E37" i="3" s="1"/>
  <c r="H37" i="3" s="1"/>
  <c r="D12" i="3"/>
  <c r="E12" i="3" s="1"/>
  <c r="H12" i="3" s="1"/>
  <c r="D88" i="3"/>
  <c r="E88" i="3" s="1"/>
  <c r="H88" i="3" s="1"/>
  <c r="D98" i="3"/>
  <c r="E98" i="3" s="1"/>
  <c r="H98" i="3" s="1"/>
  <c r="D73" i="3"/>
  <c r="E73" i="3" s="1"/>
  <c r="H73" i="3" s="1"/>
  <c r="D48" i="3"/>
  <c r="E48" i="3" s="1"/>
  <c r="H48" i="3" s="1"/>
  <c r="D23" i="3"/>
  <c r="E23" i="3" s="1"/>
  <c r="H23" i="3" s="1"/>
  <c r="C12" i="4"/>
  <c r="D114" i="3"/>
  <c r="E114" i="3" s="1"/>
  <c r="H114" i="3" s="1"/>
  <c r="D112" i="3"/>
  <c r="E112" i="3" s="1"/>
  <c r="H112" i="3" s="1"/>
  <c r="D110" i="3"/>
  <c r="E110" i="3" s="1"/>
  <c r="H110" i="3" s="1"/>
  <c r="D82" i="3"/>
  <c r="E82" i="3" s="1"/>
  <c r="H82" i="3" s="1"/>
  <c r="D57" i="3"/>
  <c r="E57" i="3" s="1"/>
  <c r="H57" i="3" s="1"/>
  <c r="D32" i="3"/>
  <c r="E32" i="3" s="1"/>
  <c r="H32" i="3" s="1"/>
  <c r="D7" i="3"/>
  <c r="E7" i="3" s="1"/>
  <c r="H7" i="3" s="1"/>
  <c r="C11" i="4"/>
  <c r="C7" i="4"/>
  <c r="D108" i="3"/>
  <c r="E108" i="3" s="1"/>
  <c r="H108" i="3" s="1"/>
  <c r="D93" i="3"/>
  <c r="E93" i="3" s="1"/>
  <c r="H93" i="3" s="1"/>
  <c r="D68" i="3"/>
  <c r="E68" i="3" s="1"/>
  <c r="H68" i="3" s="1"/>
  <c r="D43" i="3"/>
  <c r="E43" i="3" s="1"/>
  <c r="H43" i="3" s="1"/>
  <c r="D18" i="3"/>
  <c r="E18" i="3" s="1"/>
  <c r="H18" i="3" s="1"/>
  <c r="C4" i="4"/>
  <c r="C9" i="4"/>
  <c r="C5" i="4"/>
  <c r="C10" i="4"/>
  <c r="C3" i="4"/>
  <c r="C8" i="4"/>
  <c r="C13" i="4"/>
  <c r="C6" i="4"/>
  <c r="E13" i="4" l="1"/>
  <c r="E8" i="4"/>
  <c r="E3" i="4"/>
  <c r="E10" i="4"/>
  <c r="E5" i="4"/>
  <c r="E12" i="4"/>
  <c r="E7" i="4"/>
  <c r="E2" i="4"/>
  <c r="E11" i="4"/>
  <c r="E6" i="4"/>
  <c r="E4" i="4"/>
  <c r="E9" i="4"/>
</calcChain>
</file>

<file path=xl/sharedStrings.xml><?xml version="1.0" encoding="utf-8"?>
<sst xmlns="http://schemas.openxmlformats.org/spreadsheetml/2006/main" count="307" uniqueCount="176">
  <si>
    <t>SKU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</si>
  <si>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</si>
  <si>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</si>
  <si>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</si>
  <si>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</si>
  <si>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</si>
  <si>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</si>
  <si>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</si>
  <si>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</si>
  <si>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</si>
  <si>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</si>
  <si>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</si>
  <si>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</si>
  <si>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</si>
  <si>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Total_Revenue</t>
  </si>
  <si>
    <t>Cost</t>
  </si>
  <si>
    <t>Marketing_Spend</t>
  </si>
  <si>
    <t>New_Customers</t>
  </si>
  <si>
    <t>Avg_Check</t>
  </si>
  <si>
    <t>Purchase_Freq</t>
  </si>
  <si>
    <t>LTV</t>
  </si>
  <si>
    <t>CAC</t>
  </si>
  <si>
    <t>Churn_Rate</t>
  </si>
  <si>
    <t>SKU-1001</t>
  </si>
  <si>
    <t>Home</t>
  </si>
  <si>
    <t>SKU-1002</t>
  </si>
  <si>
    <t>Electronics</t>
  </si>
  <si>
    <t>SKU-1003</t>
  </si>
  <si>
    <t>Books</t>
  </si>
  <si>
    <t>SKU-1004</t>
  </si>
  <si>
    <t>Sports</t>
  </si>
  <si>
    <t>SKU-1005</t>
  </si>
  <si>
    <t>Food</t>
  </si>
  <si>
    <t>SKU-1006</t>
  </si>
  <si>
    <t>SKU-1007</t>
  </si>
  <si>
    <t>SKU-1008</t>
  </si>
  <si>
    <t>SKU-1009</t>
  </si>
  <si>
    <t>SKU-1010</t>
  </si>
  <si>
    <t>Clothing</t>
  </si>
  <si>
    <t>SKU-1011</t>
  </si>
  <si>
    <t>Cosmetics</t>
  </si>
  <si>
    <t>SKU-1012</t>
  </si>
  <si>
    <t>SKU-1013</t>
  </si>
  <si>
    <t>SKU-1014</t>
  </si>
  <si>
    <t>SKU-1015</t>
  </si>
  <si>
    <t>SKU-1016</t>
  </si>
  <si>
    <t>SKU-1017</t>
  </si>
  <si>
    <t>SKU-1018</t>
  </si>
  <si>
    <t>SKU-1019</t>
  </si>
  <si>
    <t>SKU-1020</t>
  </si>
  <si>
    <t>SKU-1021</t>
  </si>
  <si>
    <t>SKU-1022</t>
  </si>
  <si>
    <t>SKU-1023</t>
  </si>
  <si>
    <t>SKU-1024</t>
  </si>
  <si>
    <t>SKU-1025</t>
  </si>
  <si>
    <t>SKU-1026</t>
  </si>
  <si>
    <t>SKU-1027</t>
  </si>
  <si>
    <t>SKU-1028</t>
  </si>
  <si>
    <t>SKU-1029</t>
  </si>
  <si>
    <t>SKU-1030</t>
  </si>
  <si>
    <t>SKU-1031</t>
  </si>
  <si>
    <t>SKU-1032</t>
  </si>
  <si>
    <t>SKU-1033</t>
  </si>
  <si>
    <t>SKU-1034</t>
  </si>
  <si>
    <t>SKU-1035</t>
  </si>
  <si>
    <t>SKU-1036</t>
  </si>
  <si>
    <t>SKU-1037</t>
  </si>
  <si>
    <t>SKU-1038</t>
  </si>
  <si>
    <t>SKU-1039</t>
  </si>
  <si>
    <t>SKU-1040</t>
  </si>
  <si>
    <t>SKU-1041</t>
  </si>
  <si>
    <t>SKU-1042</t>
  </si>
  <si>
    <t>SKU-1043</t>
  </si>
  <si>
    <t>SKU-1044</t>
  </si>
  <si>
    <t>SKU-1045</t>
  </si>
  <si>
    <t>SKU-1046</t>
  </si>
  <si>
    <t>SKU-1047</t>
  </si>
  <si>
    <t>SKU-1048</t>
  </si>
  <si>
    <t>SKU-1049</t>
  </si>
  <si>
    <t>SKU-1050</t>
  </si>
  <si>
    <t>SKU-1051</t>
  </si>
  <si>
    <t>SKU-1052</t>
  </si>
  <si>
    <t>SKU-1053</t>
  </si>
  <si>
    <t>SKU-1054</t>
  </si>
  <si>
    <t>SKU-1055</t>
  </si>
  <si>
    <t>SKU-1056</t>
  </si>
  <si>
    <t>SKU-1057</t>
  </si>
  <si>
    <t>SKU-1058</t>
  </si>
  <si>
    <t>SKU-1059</t>
  </si>
  <si>
    <t>SKU-1060</t>
  </si>
  <si>
    <t>SKU-1061</t>
  </si>
  <si>
    <t>SKU-1062</t>
  </si>
  <si>
    <t>SKU-1063</t>
  </si>
  <si>
    <t>SKU-1064</t>
  </si>
  <si>
    <t>SKU-1065</t>
  </si>
  <si>
    <t>SKU-1066</t>
  </si>
  <si>
    <t>SKU-1067</t>
  </si>
  <si>
    <t>SKU-1068</t>
  </si>
  <si>
    <t>SKU-1069</t>
  </si>
  <si>
    <t>SKU-1070</t>
  </si>
  <si>
    <t>SKU-1071</t>
  </si>
  <si>
    <t>SKU-1072</t>
  </si>
  <si>
    <t>SKU-1073</t>
  </si>
  <si>
    <t>SKU-1074</t>
  </si>
  <si>
    <t>SKU-1075</t>
  </si>
  <si>
    <t>SKU-1076</t>
  </si>
  <si>
    <t>SKU-1077</t>
  </si>
  <si>
    <t>SKU-1078</t>
  </si>
  <si>
    <t>SKU-1079</t>
  </si>
  <si>
    <t>SKU-1080</t>
  </si>
  <si>
    <t>SKU-1081</t>
  </si>
  <si>
    <t>SKU-1082</t>
  </si>
  <si>
    <t>SKU-1083</t>
  </si>
  <si>
    <t>SKU-1084</t>
  </si>
  <si>
    <t>SKU-1085</t>
  </si>
  <si>
    <t>SKU-1086</t>
  </si>
  <si>
    <t>SKU-1087</t>
  </si>
  <si>
    <t>SKU-1088</t>
  </si>
  <si>
    <t>SKU-1089</t>
  </si>
  <si>
    <t>SKU-1090</t>
  </si>
  <si>
    <t>SKU-1091</t>
  </si>
  <si>
    <t>SKU-1092</t>
  </si>
  <si>
    <t>SKU-1093</t>
  </si>
  <si>
    <t>SKU-1094</t>
  </si>
  <si>
    <t>SKU-1095</t>
  </si>
  <si>
    <t>SKU-1096</t>
  </si>
  <si>
    <t>SKU-1097</t>
  </si>
  <si>
    <t>SKU-1098</t>
  </si>
  <si>
    <t>SKU-1099</t>
  </si>
  <si>
    <t>SKU-1100</t>
  </si>
  <si>
    <t>SKU-1101</t>
  </si>
  <si>
    <t>SKU-1102</t>
  </si>
  <si>
    <t>SKU-1103</t>
  </si>
  <si>
    <t>SKU-1104</t>
  </si>
  <si>
    <t>SKU-1105</t>
  </si>
  <si>
    <t>SKU-1106</t>
  </si>
  <si>
    <t>SKU-1107</t>
  </si>
  <si>
    <t>SKU-1108</t>
  </si>
  <si>
    <t>SKU-1109</t>
  </si>
  <si>
    <t>SKU-1110</t>
  </si>
  <si>
    <t>SKU-1111</t>
  </si>
  <si>
    <t>SKU-1112</t>
  </si>
  <si>
    <t>SKU-1113</t>
  </si>
  <si>
    <t>SKU-1114</t>
  </si>
  <si>
    <t>SKU-1115</t>
  </si>
  <si>
    <t>SKU-1116</t>
  </si>
  <si>
    <t>SKU-1117</t>
  </si>
  <si>
    <t>SKU-1118</t>
  </si>
  <si>
    <t>SKU-1119</t>
  </si>
  <si>
    <t>SKU-1120</t>
  </si>
  <si>
    <t>Share</t>
  </si>
  <si>
    <t>Cumulative %</t>
  </si>
  <si>
    <t>ABC</t>
  </si>
  <si>
    <t>CV</t>
  </si>
  <si>
    <t>XYZ</t>
  </si>
  <si>
    <t>Class</t>
  </si>
  <si>
    <t>?????</t>
  </si>
  <si>
    <t>??. ???????</t>
  </si>
  <si>
    <t>???? ????</t>
  </si>
  <si>
    <t>??????</t>
  </si>
  <si>
    <t>???</t>
  </si>
  <si>
    <t>???????</t>
  </si>
  <si>
    <t>????????</t>
  </si>
  <si>
    <t>&lt; LTV/3</t>
  </si>
  <si>
    <t>&gt; 3x CAC</t>
  </si>
  <si>
    <t>Contribution Margin</t>
  </si>
  <si>
    <t>&gt; 50%</t>
  </si>
  <si>
    <t>Payback Period</t>
  </si>
  <si>
    <t>&lt; 12 ???</t>
  </si>
  <si>
    <t>ROAS</t>
  </si>
  <si>
    <t>&gt; 3x</t>
  </si>
  <si>
    <t>?? ????????? ??? ?????????????</t>
  </si>
  <si>
    <t>1. ABC/XYZ: ABC=???? ? ??????? (80/20), XYZ=???????????? (CV). ???????: =IF(cum&lt;=0.8,"A",...), =STDEV.S()/AVERAGE()</t>
  </si>
  <si>
    <t>2. ??????????: ??????=(??_???/??_???)*12. &gt;1.1=???, &lt;0.9=????.</t>
  </si>
  <si>
    <t>3. Unit-Eco: LTV:CAC&gt;=3, Payback&lt;12???, CM&gt;50%. ?????????: ??????? ? ??????? ? ????? ? ?????.</t>
  </si>
  <si>
    <t>?? ????-?????: «??????? ABC ??? ?????? ?? ???-20%, XYZ ??? ?????????? ?????????? ????????, ??????????????? ????? ??? ??????? ????? ???????, ??????? LTV:CAC ??? ??????????? ??????????»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</si>
</sst>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0" fontId="0" fillId="0" borderId="0" xfId="0" applyNumberFormat="1"/>
    <xf numFmtId="2" fontId="0" fillId="0" borderId="0" xfId="0" applyNumberFormat="1"/>
    <xf numFmtId="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D1AB-448D-1E4A-92A8-ED75BA47CD47}">
  <sheetPr codeName="Sheet1"/>
  <dimension ref="A1"/>
  <sheetViews>
    <sheetView workbookViewId="0">
      <selection activeCell="I7" sqref="I7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5045-FA2D-624D-A990-49532F33DB3C}">
  <sheetPr codeName="Sheet2"/>
  <dimension ref="A1:Y121"/>
  <sheetViews>
    <sheetView tabSelected="1" workbookViewId="0">
      <selection activeCell="O17" sqref="O17"/>
    </sheetView>
  </sheetViews>
  <sheetFormatPr baseColWidth="10" defaultRowHeight="16" x14ac:dyDescent="0.2"/>
  <cols>
    <col min="1" max="1" width="9" bestFit="1" customWidth="1"/>
    <col min="2" max="2" width="10.33203125" bestFit="1" customWidth="1"/>
    <col min="3" max="14" width="6.6640625" bestFit="1" customWidth="1"/>
    <col min="15" max="15" width="13" bestFit="1" customWidth="1"/>
    <col min="16" max="16" width="7.6640625" bestFit="1" customWidth="1"/>
    <col min="17" max="17" width="15" bestFit="1" customWidth="1"/>
    <col min="18" max="18" width="14.5" bestFit="1" customWidth="1"/>
    <col min="19" max="19" width="9.83203125" bestFit="1" customWidth="1"/>
    <col min="20" max="20" width="13.1640625" bestFit="1" customWidth="1"/>
    <col min="21" max="21" width="7.6640625" bestFit="1" customWidth="1"/>
    <col min="22" max="22" width="5.66406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5" x14ac:dyDescent="0.2">
      <c r="A2" t="s">
        <v>23</v>
      </c>
      <c r="B2" t="s">
        <v>24</v>
      </c>
      <c r="C2" s="1">
        <v>25874</v>
      </c>
      <c r="D2" s="1">
        <v>28406</v>
      </c>
      <c r="E2" s="1">
        <v>31627</v>
      </c>
      <c r="F2" s="1">
        <v>28331</v>
      </c>
      <c r="G2" s="1">
        <v>28591</v>
      </c>
      <c r="H2" s="1">
        <v>21442</v>
      </c>
      <c r="I2" s="1">
        <v>15364</v>
      </c>
      <c r="J2" s="1">
        <v>18201</v>
      </c>
      <c r="K2" s="1">
        <v>21173</v>
      </c>
      <c r="L2" s="1">
        <v>25489</v>
      </c>
      <c r="M2" s="1">
        <v>23275</v>
      </c>
      <c r="N2" s="1">
        <v>29264</v>
      </c>
      <c r="O2" s="1">
        <v>297043</v>
      </c>
      <c r="P2" s="1">
        <v>120124</v>
      </c>
      <c r="Q2" s="1">
        <v>40732</v>
      </c>
      <c r="R2" s="1">
        <v>23</v>
      </c>
      <c r="S2" s="1">
        <v>1678</v>
      </c>
      <c r="T2" s="1">
        <v>1</v>
      </c>
      <c r="U2" s="1">
        <v>49970</v>
      </c>
      <c r="V2" s="1">
        <v>1770.9565217391305</v>
      </c>
      <c r="W2" s="2">
        <v>0.02</v>
      </c>
      <c r="Y2" s="1">
        <f>SUM(C2:N2)</f>
        <v>297037</v>
      </c>
    </row>
    <row r="3" spans="1:25" x14ac:dyDescent="0.2">
      <c r="A3" t="s">
        <v>25</v>
      </c>
      <c r="B3" t="s">
        <v>26</v>
      </c>
      <c r="C3" s="1">
        <v>72936</v>
      </c>
      <c r="D3" s="1">
        <v>74079</v>
      </c>
      <c r="E3" s="1">
        <v>82235</v>
      </c>
      <c r="F3" s="1">
        <v>72941</v>
      </c>
      <c r="G3" s="1">
        <v>54532</v>
      </c>
      <c r="H3" s="1">
        <v>56198</v>
      </c>
      <c r="I3" s="1">
        <v>40551</v>
      </c>
      <c r="J3" s="1">
        <v>42759</v>
      </c>
      <c r="K3" s="1">
        <v>55179</v>
      </c>
      <c r="L3" s="1">
        <v>58974</v>
      </c>
      <c r="M3" s="1">
        <v>80296</v>
      </c>
      <c r="N3" s="1">
        <v>75759</v>
      </c>
      <c r="O3" s="1">
        <v>766445</v>
      </c>
      <c r="P3" s="1">
        <v>338990</v>
      </c>
      <c r="Q3" s="1">
        <v>58957</v>
      </c>
      <c r="R3" s="1">
        <v>48</v>
      </c>
      <c r="S3" s="1">
        <v>1763</v>
      </c>
      <c r="T3" s="1">
        <v>1</v>
      </c>
      <c r="U3" s="1">
        <v>37817</v>
      </c>
      <c r="V3" s="1">
        <v>1228.2708333333333</v>
      </c>
      <c r="W3" s="2">
        <v>2.5999999999999999E-2</v>
      </c>
    </row>
    <row r="4" spans="1:25" x14ac:dyDescent="0.2">
      <c r="A4" t="s">
        <v>27</v>
      </c>
      <c r="B4" t="s">
        <v>28</v>
      </c>
      <c r="C4" s="1">
        <v>31879</v>
      </c>
      <c r="D4" s="1">
        <v>27877</v>
      </c>
      <c r="E4" s="1">
        <v>35130</v>
      </c>
      <c r="F4" s="1">
        <v>27366</v>
      </c>
      <c r="G4" s="1">
        <v>29167</v>
      </c>
      <c r="H4" s="1">
        <v>19478</v>
      </c>
      <c r="I4" s="1">
        <v>22129</v>
      </c>
      <c r="J4" s="1">
        <v>20269</v>
      </c>
      <c r="K4" s="1">
        <v>22619</v>
      </c>
      <c r="L4" s="1">
        <v>24035</v>
      </c>
      <c r="M4" s="1">
        <v>27301</v>
      </c>
      <c r="N4" s="1">
        <v>28570</v>
      </c>
      <c r="O4" s="1">
        <v>315825</v>
      </c>
      <c r="P4" s="1">
        <v>111698</v>
      </c>
      <c r="Q4" s="1">
        <v>34424</v>
      </c>
      <c r="R4" s="1">
        <v>108</v>
      </c>
      <c r="S4" s="1">
        <v>1817</v>
      </c>
      <c r="T4" s="1">
        <v>3</v>
      </c>
      <c r="U4" s="1">
        <v>50330</v>
      </c>
      <c r="V4" s="1">
        <v>318.74074074074076</v>
      </c>
      <c r="W4" s="2">
        <v>7.0000000000000007E-2</v>
      </c>
    </row>
    <row r="5" spans="1:25" x14ac:dyDescent="0.2">
      <c r="A5" t="s">
        <v>29</v>
      </c>
      <c r="B5" t="s">
        <v>30</v>
      </c>
      <c r="C5" s="1">
        <v>36823</v>
      </c>
      <c r="D5" s="1">
        <v>30749</v>
      </c>
      <c r="E5" s="1">
        <v>38774</v>
      </c>
      <c r="F5" s="1">
        <v>33507</v>
      </c>
      <c r="G5" s="1">
        <v>27002</v>
      </c>
      <c r="H5" s="1">
        <v>26022</v>
      </c>
      <c r="I5" s="1">
        <v>24103</v>
      </c>
      <c r="J5" s="1">
        <v>21094</v>
      </c>
      <c r="K5" s="1">
        <v>27082</v>
      </c>
      <c r="L5" s="1">
        <v>28374</v>
      </c>
      <c r="M5" s="1">
        <v>26050</v>
      </c>
      <c r="N5" s="1">
        <v>31006</v>
      </c>
      <c r="O5" s="1">
        <v>350592</v>
      </c>
      <c r="P5" s="1">
        <v>202084</v>
      </c>
      <c r="Q5" s="1">
        <v>47475</v>
      </c>
      <c r="R5" s="1">
        <v>158</v>
      </c>
      <c r="S5" s="1">
        <v>1070</v>
      </c>
      <c r="T5" s="1">
        <v>4</v>
      </c>
      <c r="U5" s="1">
        <v>82408</v>
      </c>
      <c r="V5" s="1">
        <v>300.47468354430379</v>
      </c>
      <c r="W5" s="2">
        <v>2.1999999999999999E-2</v>
      </c>
    </row>
    <row r="6" spans="1:25" x14ac:dyDescent="0.2">
      <c r="A6" t="s">
        <v>31</v>
      </c>
      <c r="B6" t="s">
        <v>32</v>
      </c>
      <c r="C6" s="1">
        <v>42224</v>
      </c>
      <c r="D6" s="1">
        <v>44832</v>
      </c>
      <c r="E6" s="1">
        <v>50784</v>
      </c>
      <c r="F6" s="1">
        <v>51364</v>
      </c>
      <c r="G6" s="1">
        <v>38970</v>
      </c>
      <c r="H6" s="1">
        <v>38796</v>
      </c>
      <c r="I6" s="1">
        <v>34468</v>
      </c>
      <c r="J6" s="1">
        <v>31440</v>
      </c>
      <c r="K6" s="1">
        <v>35123</v>
      </c>
      <c r="L6" s="1">
        <v>38515</v>
      </c>
      <c r="M6" s="1">
        <v>47625</v>
      </c>
      <c r="N6" s="1">
        <v>41082</v>
      </c>
      <c r="O6" s="1">
        <v>495229</v>
      </c>
      <c r="P6" s="1">
        <v>279445</v>
      </c>
      <c r="Q6" s="1">
        <v>78812</v>
      </c>
      <c r="R6" s="1">
        <v>43</v>
      </c>
      <c r="S6" s="1">
        <v>738</v>
      </c>
      <c r="T6" s="1">
        <v>4</v>
      </c>
      <c r="U6" s="1">
        <v>30625</v>
      </c>
      <c r="V6" s="1">
        <v>1832.8372093023256</v>
      </c>
      <c r="W6" s="2">
        <v>4.2000000000000003E-2</v>
      </c>
    </row>
    <row r="7" spans="1:25" x14ac:dyDescent="0.2">
      <c r="A7" t="s">
        <v>33</v>
      </c>
      <c r="B7" t="s">
        <v>26</v>
      </c>
      <c r="C7" s="1">
        <v>16341</v>
      </c>
      <c r="D7" s="1">
        <v>21432</v>
      </c>
      <c r="E7" s="1">
        <v>17309</v>
      </c>
      <c r="F7" s="1">
        <v>22232</v>
      </c>
      <c r="G7" s="1">
        <v>16518</v>
      </c>
      <c r="H7" s="1">
        <v>15590</v>
      </c>
      <c r="I7" s="1">
        <v>15185</v>
      </c>
      <c r="J7" s="1">
        <v>12672</v>
      </c>
      <c r="K7" s="1">
        <v>14686</v>
      </c>
      <c r="L7" s="1">
        <v>17910</v>
      </c>
      <c r="M7" s="1">
        <v>20763</v>
      </c>
      <c r="N7" s="1">
        <v>21930</v>
      </c>
      <c r="O7" s="1">
        <v>212572</v>
      </c>
      <c r="P7" s="1">
        <v>85912</v>
      </c>
      <c r="Q7" s="1">
        <v>30487</v>
      </c>
      <c r="R7" s="1">
        <v>211</v>
      </c>
      <c r="S7" s="1">
        <v>2109</v>
      </c>
      <c r="T7" s="1">
        <v>1</v>
      </c>
      <c r="U7" s="1">
        <v>14280</v>
      </c>
      <c r="V7" s="1">
        <v>144.48815165876778</v>
      </c>
      <c r="W7" s="2">
        <v>8.7999999999999995E-2</v>
      </c>
    </row>
    <row r="8" spans="1:25" x14ac:dyDescent="0.2">
      <c r="A8" t="s">
        <v>34</v>
      </c>
      <c r="B8" t="s">
        <v>32</v>
      </c>
      <c r="C8" s="1">
        <v>33145</v>
      </c>
      <c r="D8" s="1">
        <v>36272</v>
      </c>
      <c r="E8" s="1">
        <v>40818</v>
      </c>
      <c r="F8" s="1">
        <v>30525</v>
      </c>
      <c r="G8" s="1">
        <v>28323</v>
      </c>
      <c r="H8" s="1">
        <v>25062</v>
      </c>
      <c r="I8" s="1">
        <v>21579</v>
      </c>
      <c r="J8" s="1">
        <v>26038</v>
      </c>
      <c r="K8" s="1">
        <v>24351</v>
      </c>
      <c r="L8" s="1">
        <v>27075</v>
      </c>
      <c r="M8" s="1">
        <v>27767</v>
      </c>
      <c r="N8" s="1">
        <v>35776</v>
      </c>
      <c r="O8" s="1">
        <v>356734</v>
      </c>
      <c r="P8" s="1">
        <v>145630</v>
      </c>
      <c r="Q8" s="1">
        <v>50350</v>
      </c>
      <c r="R8" s="1">
        <v>60</v>
      </c>
      <c r="S8" s="1">
        <v>2004</v>
      </c>
      <c r="T8" s="1">
        <v>2</v>
      </c>
      <c r="U8" s="1">
        <v>26952</v>
      </c>
      <c r="V8" s="1">
        <v>839.16666666666663</v>
      </c>
      <c r="W8" s="2">
        <v>8.7999999999999995E-2</v>
      </c>
    </row>
    <row r="9" spans="1:25" x14ac:dyDescent="0.2">
      <c r="A9" t="s">
        <v>35</v>
      </c>
      <c r="B9" t="s">
        <v>32</v>
      </c>
      <c r="C9" s="1">
        <v>61948</v>
      </c>
      <c r="D9" s="1">
        <v>62517</v>
      </c>
      <c r="E9" s="1">
        <v>65846</v>
      </c>
      <c r="F9" s="1">
        <v>61767</v>
      </c>
      <c r="G9" s="1">
        <v>55626</v>
      </c>
      <c r="H9" s="1">
        <v>51322</v>
      </c>
      <c r="I9" s="1">
        <v>50976</v>
      </c>
      <c r="J9" s="1">
        <v>47941</v>
      </c>
      <c r="K9" s="1">
        <v>35753</v>
      </c>
      <c r="L9" s="1">
        <v>47381</v>
      </c>
      <c r="M9" s="1">
        <v>47686</v>
      </c>
      <c r="N9" s="1">
        <v>54028</v>
      </c>
      <c r="O9" s="1">
        <v>642797</v>
      </c>
      <c r="P9" s="1">
        <v>309286</v>
      </c>
      <c r="Q9" s="1">
        <v>60557</v>
      </c>
      <c r="R9" s="1">
        <v>141</v>
      </c>
      <c r="S9" s="1">
        <v>3112</v>
      </c>
      <c r="T9" s="1">
        <v>1</v>
      </c>
      <c r="U9" s="1">
        <v>36696</v>
      </c>
      <c r="V9" s="1">
        <v>429.48226950354609</v>
      </c>
      <c r="W9" s="2">
        <v>4.3999999999999997E-2</v>
      </c>
    </row>
    <row r="10" spans="1:25" x14ac:dyDescent="0.2">
      <c r="A10" t="s">
        <v>36</v>
      </c>
      <c r="B10" t="s">
        <v>32</v>
      </c>
      <c r="C10" s="1">
        <v>67349</v>
      </c>
      <c r="D10" s="1">
        <v>72347</v>
      </c>
      <c r="E10" s="1">
        <v>69177</v>
      </c>
      <c r="F10" s="1">
        <v>67483</v>
      </c>
      <c r="G10" s="1">
        <v>55599</v>
      </c>
      <c r="H10" s="1">
        <v>52235</v>
      </c>
      <c r="I10" s="1">
        <v>60424</v>
      </c>
      <c r="J10" s="1">
        <v>40764</v>
      </c>
      <c r="K10" s="1">
        <v>46327</v>
      </c>
      <c r="L10" s="1">
        <v>62414</v>
      </c>
      <c r="M10" s="1">
        <v>69361</v>
      </c>
      <c r="N10" s="1">
        <v>63003</v>
      </c>
      <c r="O10" s="1">
        <v>726488</v>
      </c>
      <c r="P10" s="1">
        <v>335822</v>
      </c>
      <c r="Q10" s="1">
        <v>103842</v>
      </c>
      <c r="R10" s="1">
        <v>218</v>
      </c>
      <c r="S10" s="1">
        <v>701</v>
      </c>
      <c r="T10" s="1">
        <v>1</v>
      </c>
      <c r="U10" s="1">
        <v>15706</v>
      </c>
      <c r="V10" s="1">
        <v>476.33944954128441</v>
      </c>
      <c r="W10" s="2">
        <v>2.4E-2</v>
      </c>
    </row>
    <row r="11" spans="1:25" x14ac:dyDescent="0.2">
      <c r="A11" t="s">
        <v>37</v>
      </c>
      <c r="B11" t="s">
        <v>38</v>
      </c>
      <c r="C11" s="1">
        <v>45976</v>
      </c>
      <c r="D11" s="1">
        <v>49309</v>
      </c>
      <c r="E11" s="1">
        <v>50217</v>
      </c>
      <c r="F11" s="1">
        <v>45524</v>
      </c>
      <c r="G11" s="1">
        <v>33890</v>
      </c>
      <c r="H11" s="1">
        <v>27406</v>
      </c>
      <c r="I11" s="1">
        <v>34337</v>
      </c>
      <c r="J11" s="1">
        <v>35031</v>
      </c>
      <c r="K11" s="1">
        <v>37744</v>
      </c>
      <c r="L11" s="1">
        <v>28972</v>
      </c>
      <c r="M11" s="1">
        <v>44160</v>
      </c>
      <c r="N11" s="1">
        <v>51139</v>
      </c>
      <c r="O11" s="1">
        <v>483709</v>
      </c>
      <c r="P11" s="1">
        <v>262511</v>
      </c>
      <c r="Q11" s="1">
        <v>60661</v>
      </c>
      <c r="R11" s="1">
        <v>160</v>
      </c>
      <c r="S11" s="1">
        <v>1707</v>
      </c>
      <c r="T11" s="1">
        <v>1</v>
      </c>
      <c r="U11" s="1">
        <v>31224</v>
      </c>
      <c r="V11" s="1">
        <v>379.13125000000002</v>
      </c>
      <c r="W11" s="2">
        <v>2.5000000000000001E-2</v>
      </c>
    </row>
    <row r="12" spans="1:25" x14ac:dyDescent="0.2">
      <c r="A12" t="s">
        <v>39</v>
      </c>
      <c r="B12" t="s">
        <v>40</v>
      </c>
      <c r="C12" s="1">
        <v>36007</v>
      </c>
      <c r="D12" s="1">
        <v>37854</v>
      </c>
      <c r="E12" s="1">
        <v>39668</v>
      </c>
      <c r="F12" s="1">
        <v>34156</v>
      </c>
      <c r="G12" s="1">
        <v>28284</v>
      </c>
      <c r="H12" s="1">
        <v>28343</v>
      </c>
      <c r="I12" s="1">
        <v>16501</v>
      </c>
      <c r="J12" s="1">
        <v>19819</v>
      </c>
      <c r="K12" s="1">
        <v>22334</v>
      </c>
      <c r="L12" s="1">
        <v>20635</v>
      </c>
      <c r="M12" s="1">
        <v>32298</v>
      </c>
      <c r="N12" s="1">
        <v>35882</v>
      </c>
      <c r="O12" s="1">
        <v>351787</v>
      </c>
      <c r="P12" s="1">
        <v>196204</v>
      </c>
      <c r="Q12" s="1">
        <v>23519</v>
      </c>
      <c r="R12" s="1">
        <v>106</v>
      </c>
      <c r="S12" s="1">
        <v>2691</v>
      </c>
      <c r="T12" s="1">
        <v>1</v>
      </c>
      <c r="U12" s="1">
        <v>18309</v>
      </c>
      <c r="V12" s="1">
        <v>221.87735849056602</v>
      </c>
      <c r="W12" s="2">
        <v>6.5000000000000002E-2</v>
      </c>
    </row>
    <row r="13" spans="1:25" x14ac:dyDescent="0.2">
      <c r="A13" t="s">
        <v>41</v>
      </c>
      <c r="B13" t="s">
        <v>24</v>
      </c>
      <c r="C13" s="1">
        <v>8144</v>
      </c>
      <c r="D13" s="1">
        <v>9090</v>
      </c>
      <c r="E13" s="1">
        <v>10031</v>
      </c>
      <c r="F13" s="1">
        <v>9470</v>
      </c>
      <c r="G13" s="1">
        <v>7690</v>
      </c>
      <c r="H13" s="1">
        <v>7645</v>
      </c>
      <c r="I13" s="1">
        <v>7588</v>
      </c>
      <c r="J13" s="1">
        <v>4800</v>
      </c>
      <c r="K13" s="1">
        <v>6458</v>
      </c>
      <c r="L13" s="1">
        <v>7516</v>
      </c>
      <c r="M13" s="1">
        <v>10767</v>
      </c>
      <c r="N13" s="1">
        <v>9905</v>
      </c>
      <c r="O13" s="1">
        <v>99110</v>
      </c>
      <c r="P13" s="1">
        <v>54887</v>
      </c>
      <c r="Q13" s="1">
        <v>9815</v>
      </c>
      <c r="R13" s="1">
        <v>57</v>
      </c>
      <c r="S13" s="1">
        <v>3674</v>
      </c>
      <c r="T13" s="1">
        <v>4</v>
      </c>
      <c r="U13" s="1">
        <v>73679</v>
      </c>
      <c r="V13" s="1">
        <v>172.19298245614036</v>
      </c>
      <c r="W13" s="2">
        <v>8.8999999999999996E-2</v>
      </c>
    </row>
    <row r="14" spans="1:25" x14ac:dyDescent="0.2">
      <c r="A14" t="s">
        <v>42</v>
      </c>
      <c r="B14" t="s">
        <v>28</v>
      </c>
      <c r="C14" s="1">
        <v>32251</v>
      </c>
      <c r="D14" s="1">
        <v>35944</v>
      </c>
      <c r="E14" s="1">
        <v>33758</v>
      </c>
      <c r="F14" s="1">
        <v>36052</v>
      </c>
      <c r="G14" s="1">
        <v>30262</v>
      </c>
      <c r="H14" s="1">
        <v>26082</v>
      </c>
      <c r="I14" s="1">
        <v>26356</v>
      </c>
      <c r="J14" s="1">
        <v>16550</v>
      </c>
      <c r="K14" s="1">
        <v>21222</v>
      </c>
      <c r="L14" s="1">
        <v>23343</v>
      </c>
      <c r="M14" s="1">
        <v>27197</v>
      </c>
      <c r="N14" s="1">
        <v>33013</v>
      </c>
      <c r="O14" s="1">
        <v>342035</v>
      </c>
      <c r="P14" s="1">
        <v>181538</v>
      </c>
      <c r="Q14" s="1">
        <v>58008</v>
      </c>
      <c r="R14" s="1">
        <v>140</v>
      </c>
      <c r="S14" s="1">
        <v>1855</v>
      </c>
      <c r="T14" s="1">
        <v>3</v>
      </c>
      <c r="U14" s="1">
        <v>29014</v>
      </c>
      <c r="V14" s="1">
        <v>414.34285714285716</v>
      </c>
      <c r="W14" s="2">
        <v>0.09</v>
      </c>
    </row>
    <row r="15" spans="1:25" x14ac:dyDescent="0.2">
      <c r="A15" t="s">
        <v>43</v>
      </c>
      <c r="B15" t="s">
        <v>32</v>
      </c>
      <c r="C15" s="1">
        <v>65770</v>
      </c>
      <c r="D15" s="1">
        <v>67500</v>
      </c>
      <c r="E15" s="1">
        <v>71175</v>
      </c>
      <c r="F15" s="1">
        <v>52906</v>
      </c>
      <c r="G15" s="1">
        <v>49408</v>
      </c>
      <c r="H15" s="1">
        <v>43986</v>
      </c>
      <c r="I15" s="1">
        <v>33037</v>
      </c>
      <c r="J15" s="1">
        <v>27730</v>
      </c>
      <c r="K15" s="1">
        <v>47826</v>
      </c>
      <c r="L15" s="1">
        <v>52126</v>
      </c>
      <c r="M15" s="1">
        <v>47301</v>
      </c>
      <c r="N15" s="1">
        <v>61976</v>
      </c>
      <c r="O15" s="1">
        <v>620746</v>
      </c>
      <c r="P15" s="1">
        <v>347061</v>
      </c>
      <c r="Q15" s="1">
        <v>87819</v>
      </c>
      <c r="R15" s="1">
        <v>101</v>
      </c>
      <c r="S15" s="1">
        <v>3689</v>
      </c>
      <c r="T15" s="1">
        <v>2</v>
      </c>
      <c r="U15" s="1">
        <v>66386</v>
      </c>
      <c r="V15" s="1">
        <v>869.49504950495054</v>
      </c>
      <c r="W15" s="2">
        <v>4.9000000000000002E-2</v>
      </c>
    </row>
    <row r="16" spans="1:25" x14ac:dyDescent="0.2">
      <c r="A16" t="s">
        <v>44</v>
      </c>
      <c r="B16" t="s">
        <v>24</v>
      </c>
      <c r="C16" s="1">
        <v>54560</v>
      </c>
      <c r="D16" s="1">
        <v>70540</v>
      </c>
      <c r="E16" s="1">
        <v>60826</v>
      </c>
      <c r="F16" s="1">
        <v>57686</v>
      </c>
      <c r="G16" s="1">
        <v>59668</v>
      </c>
      <c r="H16" s="1">
        <v>42673</v>
      </c>
      <c r="I16" s="1">
        <v>48544</v>
      </c>
      <c r="J16" s="1">
        <v>41208</v>
      </c>
      <c r="K16" s="1">
        <v>41638</v>
      </c>
      <c r="L16" s="1">
        <v>40457</v>
      </c>
      <c r="M16" s="1">
        <v>47065</v>
      </c>
      <c r="N16" s="1">
        <v>64279</v>
      </c>
      <c r="O16" s="1">
        <v>629152</v>
      </c>
      <c r="P16" s="1">
        <v>234105</v>
      </c>
      <c r="Q16" s="1">
        <v>102072</v>
      </c>
      <c r="R16" s="1">
        <v>66</v>
      </c>
      <c r="S16" s="1">
        <v>2852</v>
      </c>
      <c r="T16" s="1">
        <v>3</v>
      </c>
      <c r="U16" s="1">
        <v>198975</v>
      </c>
      <c r="V16" s="1">
        <v>1546.5454545454545</v>
      </c>
      <c r="W16" s="2">
        <v>2.7E-2</v>
      </c>
    </row>
    <row r="17" spans="1:23" x14ac:dyDescent="0.2">
      <c r="A17" t="s">
        <v>45</v>
      </c>
      <c r="B17" t="s">
        <v>28</v>
      </c>
      <c r="C17" s="1">
        <v>33609</v>
      </c>
      <c r="D17" s="1">
        <v>38858</v>
      </c>
      <c r="E17" s="1">
        <v>31460</v>
      </c>
      <c r="F17" s="1">
        <v>28308</v>
      </c>
      <c r="G17" s="1">
        <v>32907</v>
      </c>
      <c r="H17" s="1">
        <v>26673</v>
      </c>
      <c r="I17" s="1">
        <v>25270</v>
      </c>
      <c r="J17" s="1">
        <v>20386</v>
      </c>
      <c r="K17" s="1">
        <v>21433</v>
      </c>
      <c r="L17" s="1">
        <v>23240</v>
      </c>
      <c r="M17" s="1">
        <v>27868</v>
      </c>
      <c r="N17" s="1">
        <v>32507</v>
      </c>
      <c r="O17" s="1">
        <v>342523</v>
      </c>
      <c r="P17" s="1">
        <v>182562</v>
      </c>
      <c r="Q17" s="1">
        <v>35447</v>
      </c>
      <c r="R17" s="1">
        <v>138</v>
      </c>
      <c r="S17" s="1">
        <v>1077</v>
      </c>
      <c r="T17" s="1">
        <v>3</v>
      </c>
      <c r="U17" s="1">
        <v>23950</v>
      </c>
      <c r="V17" s="1">
        <v>256.86231884057969</v>
      </c>
      <c r="W17" s="2">
        <v>6.3E-2</v>
      </c>
    </row>
    <row r="18" spans="1:23" x14ac:dyDescent="0.2">
      <c r="A18" t="s">
        <v>46</v>
      </c>
      <c r="B18" t="s">
        <v>30</v>
      </c>
      <c r="C18" s="1">
        <v>72344</v>
      </c>
      <c r="D18" s="1">
        <v>85282</v>
      </c>
      <c r="E18" s="1">
        <v>66954</v>
      </c>
      <c r="F18" s="1">
        <v>59855</v>
      </c>
      <c r="G18" s="1">
        <v>71992</v>
      </c>
      <c r="H18" s="1">
        <v>48229</v>
      </c>
      <c r="I18" s="1">
        <v>38379</v>
      </c>
      <c r="J18" s="1">
        <v>42874</v>
      </c>
      <c r="K18" s="1">
        <v>42417</v>
      </c>
      <c r="L18" s="1">
        <v>50521</v>
      </c>
      <c r="M18" s="1">
        <v>58657</v>
      </c>
      <c r="N18" s="1">
        <v>64178</v>
      </c>
      <c r="O18" s="1">
        <v>701688</v>
      </c>
      <c r="P18" s="1">
        <v>264684</v>
      </c>
      <c r="Q18" s="1">
        <v>77342</v>
      </c>
      <c r="R18" s="1">
        <v>55</v>
      </c>
      <c r="S18" s="1">
        <v>1862</v>
      </c>
      <c r="T18" s="1">
        <v>2</v>
      </c>
      <c r="U18" s="1">
        <v>82831</v>
      </c>
      <c r="V18" s="1">
        <v>1406.2181818181818</v>
      </c>
      <c r="W18" s="2">
        <v>2.8000000000000001E-2</v>
      </c>
    </row>
    <row r="19" spans="1:23" x14ac:dyDescent="0.2">
      <c r="A19" t="s">
        <v>47</v>
      </c>
      <c r="B19" t="s">
        <v>32</v>
      </c>
      <c r="C19" s="1">
        <v>48806</v>
      </c>
      <c r="D19" s="1">
        <v>51029</v>
      </c>
      <c r="E19" s="1">
        <v>60251</v>
      </c>
      <c r="F19" s="1">
        <v>51924</v>
      </c>
      <c r="G19" s="1">
        <v>35240</v>
      </c>
      <c r="H19" s="1">
        <v>31403</v>
      </c>
      <c r="I19" s="1">
        <v>39766</v>
      </c>
      <c r="J19" s="1">
        <v>23577</v>
      </c>
      <c r="K19" s="1">
        <v>36105</v>
      </c>
      <c r="L19" s="1">
        <v>37223</v>
      </c>
      <c r="M19" s="1">
        <v>38551</v>
      </c>
      <c r="N19" s="1">
        <v>58118</v>
      </c>
      <c r="O19" s="1">
        <v>511997</v>
      </c>
      <c r="P19" s="1">
        <v>271114</v>
      </c>
      <c r="Q19" s="1">
        <v>51308</v>
      </c>
      <c r="R19" s="1">
        <v>91</v>
      </c>
      <c r="S19" s="1">
        <v>1560</v>
      </c>
      <c r="T19" s="1">
        <v>3</v>
      </c>
      <c r="U19" s="1">
        <v>52424</v>
      </c>
      <c r="V19" s="1">
        <v>563.82417582417577</v>
      </c>
      <c r="W19" s="2">
        <v>4.2000000000000003E-2</v>
      </c>
    </row>
    <row r="20" spans="1:23" x14ac:dyDescent="0.2">
      <c r="A20" t="s">
        <v>48</v>
      </c>
      <c r="B20" t="s">
        <v>26</v>
      </c>
      <c r="C20" s="1">
        <v>27263</v>
      </c>
      <c r="D20" s="1">
        <v>32490</v>
      </c>
      <c r="E20" s="1">
        <v>23879</v>
      </c>
      <c r="F20" s="1">
        <v>28267</v>
      </c>
      <c r="G20" s="1">
        <v>24592</v>
      </c>
      <c r="H20" s="1">
        <v>19791</v>
      </c>
      <c r="I20" s="1">
        <v>20051</v>
      </c>
      <c r="J20" s="1">
        <v>15930</v>
      </c>
      <c r="K20" s="1">
        <v>15095</v>
      </c>
      <c r="L20" s="1">
        <v>19743</v>
      </c>
      <c r="M20" s="1">
        <v>28142</v>
      </c>
      <c r="N20" s="1">
        <v>28966</v>
      </c>
      <c r="O20" s="1">
        <v>284214</v>
      </c>
      <c r="P20" s="1">
        <v>112618</v>
      </c>
      <c r="Q20" s="1">
        <v>37908</v>
      </c>
      <c r="R20" s="1">
        <v>209</v>
      </c>
      <c r="S20" s="1">
        <v>2338</v>
      </c>
      <c r="T20" s="1">
        <v>1</v>
      </c>
      <c r="U20" s="1">
        <v>16606</v>
      </c>
      <c r="V20" s="1">
        <v>181.37799043062202</v>
      </c>
      <c r="W20" s="2">
        <v>8.5000000000000006E-2</v>
      </c>
    </row>
    <row r="21" spans="1:23" x14ac:dyDescent="0.2">
      <c r="A21" t="s">
        <v>49</v>
      </c>
      <c r="B21" t="s">
        <v>32</v>
      </c>
      <c r="C21" s="1">
        <v>30228</v>
      </c>
      <c r="D21" s="1">
        <v>28166</v>
      </c>
      <c r="E21" s="1">
        <v>35349</v>
      </c>
      <c r="F21" s="1">
        <v>31133</v>
      </c>
      <c r="G21" s="1">
        <v>22347</v>
      </c>
      <c r="H21" s="1">
        <v>24393</v>
      </c>
      <c r="I21" s="1">
        <v>21458</v>
      </c>
      <c r="J21" s="1">
        <v>20319</v>
      </c>
      <c r="K21" s="1">
        <v>16993</v>
      </c>
      <c r="L21" s="1">
        <v>25406</v>
      </c>
      <c r="M21" s="1">
        <v>27131</v>
      </c>
      <c r="N21" s="1">
        <v>25778</v>
      </c>
      <c r="O21" s="1">
        <v>308706</v>
      </c>
      <c r="P21" s="1">
        <v>164363</v>
      </c>
      <c r="Q21" s="1">
        <v>28142</v>
      </c>
      <c r="R21" s="1">
        <v>64</v>
      </c>
      <c r="S21" s="1">
        <v>1512</v>
      </c>
      <c r="T21" s="1">
        <v>2</v>
      </c>
      <c r="U21" s="1">
        <v>44185</v>
      </c>
      <c r="V21" s="1">
        <v>439.71875</v>
      </c>
      <c r="W21" s="2">
        <v>3.2000000000000001E-2</v>
      </c>
    </row>
    <row r="22" spans="1:23" x14ac:dyDescent="0.2">
      <c r="A22" t="s">
        <v>50</v>
      </c>
      <c r="B22" t="s">
        <v>32</v>
      </c>
      <c r="C22" s="1">
        <v>73952</v>
      </c>
      <c r="D22" s="1">
        <v>69289</v>
      </c>
      <c r="E22" s="1">
        <v>74951</v>
      </c>
      <c r="F22" s="1">
        <v>58511</v>
      </c>
      <c r="G22" s="1">
        <v>57824</v>
      </c>
      <c r="H22" s="1">
        <v>52447</v>
      </c>
      <c r="I22" s="1">
        <v>48610</v>
      </c>
      <c r="J22" s="1">
        <v>47782</v>
      </c>
      <c r="K22" s="1">
        <v>50270</v>
      </c>
      <c r="L22" s="1">
        <v>63822</v>
      </c>
      <c r="M22" s="1">
        <v>59306</v>
      </c>
      <c r="N22" s="1">
        <v>65210</v>
      </c>
      <c r="O22" s="1">
        <v>721979</v>
      </c>
      <c r="P22" s="1">
        <v>421660</v>
      </c>
      <c r="Q22" s="1">
        <v>76459</v>
      </c>
      <c r="R22" s="1">
        <v>57</v>
      </c>
      <c r="S22" s="1">
        <v>2758</v>
      </c>
      <c r="T22" s="1">
        <v>3</v>
      </c>
      <c r="U22" s="1">
        <v>52949</v>
      </c>
      <c r="V22" s="1">
        <v>1341.3859649122808</v>
      </c>
      <c r="W22" s="2">
        <v>6.5000000000000002E-2</v>
      </c>
    </row>
    <row r="23" spans="1:23" x14ac:dyDescent="0.2">
      <c r="A23" t="s">
        <v>51</v>
      </c>
      <c r="B23" t="s">
        <v>28</v>
      </c>
      <c r="C23" s="1">
        <v>32827</v>
      </c>
      <c r="D23" s="1">
        <v>33657</v>
      </c>
      <c r="E23" s="1">
        <v>33062</v>
      </c>
      <c r="F23" s="1">
        <v>28904</v>
      </c>
      <c r="G23" s="1">
        <v>28753</v>
      </c>
      <c r="H23" s="1">
        <v>20757</v>
      </c>
      <c r="I23" s="1">
        <v>22104</v>
      </c>
      <c r="J23" s="1">
        <v>15322</v>
      </c>
      <c r="K23" s="1">
        <v>18229</v>
      </c>
      <c r="L23" s="1">
        <v>20445</v>
      </c>
      <c r="M23" s="1">
        <v>22829</v>
      </c>
      <c r="N23" s="1">
        <v>31090</v>
      </c>
      <c r="O23" s="1">
        <v>307982</v>
      </c>
      <c r="P23" s="1">
        <v>186371</v>
      </c>
      <c r="Q23" s="1">
        <v>18546</v>
      </c>
      <c r="R23" s="1">
        <v>37</v>
      </c>
      <c r="S23" s="1">
        <v>3701</v>
      </c>
      <c r="T23" s="1">
        <v>2</v>
      </c>
      <c r="U23" s="1">
        <v>67972</v>
      </c>
      <c r="V23" s="1">
        <v>501.24324324324323</v>
      </c>
      <c r="W23" s="2">
        <v>4.2999999999999997E-2</v>
      </c>
    </row>
    <row r="24" spans="1:23" x14ac:dyDescent="0.2">
      <c r="A24" t="s">
        <v>52</v>
      </c>
      <c r="B24" t="s">
        <v>32</v>
      </c>
      <c r="C24" s="1">
        <v>57024</v>
      </c>
      <c r="D24" s="1">
        <v>81665</v>
      </c>
      <c r="E24" s="1">
        <v>64841</v>
      </c>
      <c r="F24" s="1">
        <v>59428</v>
      </c>
      <c r="G24" s="1">
        <v>57011</v>
      </c>
      <c r="H24" s="1">
        <v>59689</v>
      </c>
      <c r="I24" s="1">
        <v>47390</v>
      </c>
      <c r="J24" s="1">
        <v>49932</v>
      </c>
      <c r="K24" s="1">
        <v>39727</v>
      </c>
      <c r="L24" s="1">
        <v>52158</v>
      </c>
      <c r="M24" s="1">
        <v>73216</v>
      </c>
      <c r="N24" s="1">
        <v>72336</v>
      </c>
      <c r="O24" s="1">
        <v>714423</v>
      </c>
      <c r="P24" s="1">
        <v>250118</v>
      </c>
      <c r="Q24" s="1">
        <v>54561</v>
      </c>
      <c r="R24" s="1">
        <v>56</v>
      </c>
      <c r="S24" s="1">
        <v>1873</v>
      </c>
      <c r="T24" s="1">
        <v>4</v>
      </c>
      <c r="U24" s="1">
        <v>231860</v>
      </c>
      <c r="V24" s="1">
        <v>974.30357142857144</v>
      </c>
      <c r="W24" s="2">
        <v>2.1000000000000001E-2</v>
      </c>
    </row>
    <row r="25" spans="1:23" x14ac:dyDescent="0.2">
      <c r="A25" t="s">
        <v>53</v>
      </c>
      <c r="B25" t="s">
        <v>38</v>
      </c>
      <c r="C25" s="1">
        <v>56921</v>
      </c>
      <c r="D25" s="1">
        <v>48549</v>
      </c>
      <c r="E25" s="1">
        <v>59392</v>
      </c>
      <c r="F25" s="1">
        <v>50970</v>
      </c>
      <c r="G25" s="1">
        <v>39869</v>
      </c>
      <c r="H25" s="1">
        <v>43393</v>
      </c>
      <c r="I25" s="1">
        <v>35009</v>
      </c>
      <c r="J25" s="1">
        <v>34756</v>
      </c>
      <c r="K25" s="1">
        <v>28622</v>
      </c>
      <c r="L25" s="1">
        <v>47314</v>
      </c>
      <c r="M25" s="1">
        <v>48102</v>
      </c>
      <c r="N25" s="1">
        <v>61855</v>
      </c>
      <c r="O25" s="1">
        <v>554756</v>
      </c>
      <c r="P25" s="1">
        <v>244517</v>
      </c>
      <c r="Q25" s="1">
        <v>41966</v>
      </c>
      <c r="R25" s="1">
        <v>169</v>
      </c>
      <c r="S25" s="1">
        <v>1548</v>
      </c>
      <c r="T25" s="1">
        <v>3</v>
      </c>
      <c r="U25" s="1">
        <v>33296</v>
      </c>
      <c r="V25" s="1">
        <v>248.31952662721895</v>
      </c>
      <c r="W25" s="2">
        <v>7.8E-2</v>
      </c>
    </row>
    <row r="26" spans="1:23" x14ac:dyDescent="0.2">
      <c r="A26" t="s">
        <v>54</v>
      </c>
      <c r="B26" t="s">
        <v>24</v>
      </c>
      <c r="C26" s="1">
        <v>59196</v>
      </c>
      <c r="D26" s="1">
        <v>62226</v>
      </c>
      <c r="E26" s="1">
        <v>81897</v>
      </c>
      <c r="F26" s="1">
        <v>78719</v>
      </c>
      <c r="G26" s="1">
        <v>62758</v>
      </c>
      <c r="H26" s="1">
        <v>53685</v>
      </c>
      <c r="I26" s="1">
        <v>43032</v>
      </c>
      <c r="J26" s="1">
        <v>45110</v>
      </c>
      <c r="K26" s="1">
        <v>43992</v>
      </c>
      <c r="L26" s="1">
        <v>52999</v>
      </c>
      <c r="M26" s="1">
        <v>60483</v>
      </c>
      <c r="N26" s="1">
        <v>82713</v>
      </c>
      <c r="O26" s="1">
        <v>726815</v>
      </c>
      <c r="P26" s="1">
        <v>442374</v>
      </c>
      <c r="Q26" s="1">
        <v>63765</v>
      </c>
      <c r="R26" s="1">
        <v>91</v>
      </c>
      <c r="S26" s="1">
        <v>3956</v>
      </c>
      <c r="T26" s="1">
        <v>1</v>
      </c>
      <c r="U26" s="1">
        <v>64508</v>
      </c>
      <c r="V26" s="1">
        <v>700.71428571428567</v>
      </c>
      <c r="W26" s="2">
        <v>2.4E-2</v>
      </c>
    </row>
    <row r="27" spans="1:23" x14ac:dyDescent="0.2">
      <c r="A27" t="s">
        <v>55</v>
      </c>
      <c r="B27" t="s">
        <v>38</v>
      </c>
      <c r="C27" s="1">
        <v>28851</v>
      </c>
      <c r="D27" s="1">
        <v>25949</v>
      </c>
      <c r="E27" s="1">
        <v>27404</v>
      </c>
      <c r="F27" s="1">
        <v>26779</v>
      </c>
      <c r="G27" s="1">
        <v>26061</v>
      </c>
      <c r="H27" s="1">
        <v>21677</v>
      </c>
      <c r="I27" s="1">
        <v>20871</v>
      </c>
      <c r="J27" s="1">
        <v>20410</v>
      </c>
      <c r="K27" s="1">
        <v>16609</v>
      </c>
      <c r="L27" s="1">
        <v>24734</v>
      </c>
      <c r="M27" s="1">
        <v>20546</v>
      </c>
      <c r="N27" s="1">
        <v>27954</v>
      </c>
      <c r="O27" s="1">
        <v>287850</v>
      </c>
      <c r="P27" s="1">
        <v>118627</v>
      </c>
      <c r="Q27" s="1">
        <v>31688</v>
      </c>
      <c r="R27" s="1">
        <v>97</v>
      </c>
      <c r="S27" s="1">
        <v>1869</v>
      </c>
      <c r="T27" s="1">
        <v>3</v>
      </c>
      <c r="U27" s="1">
        <v>89088</v>
      </c>
      <c r="V27" s="1">
        <v>326.68041237113403</v>
      </c>
      <c r="W27" s="2">
        <v>3.6999999999999998E-2</v>
      </c>
    </row>
    <row r="28" spans="1:23" x14ac:dyDescent="0.2">
      <c r="A28" t="s">
        <v>56</v>
      </c>
      <c r="B28" t="s">
        <v>30</v>
      </c>
      <c r="C28" s="1">
        <v>47880</v>
      </c>
      <c r="D28" s="1">
        <v>62234</v>
      </c>
      <c r="E28" s="1">
        <v>57097</v>
      </c>
      <c r="F28" s="1">
        <v>58305</v>
      </c>
      <c r="G28" s="1">
        <v>56647</v>
      </c>
      <c r="H28" s="1">
        <v>43524</v>
      </c>
      <c r="I28" s="1">
        <v>41605</v>
      </c>
      <c r="J28" s="1">
        <v>30465</v>
      </c>
      <c r="K28" s="1">
        <v>43442</v>
      </c>
      <c r="L28" s="1">
        <v>43477</v>
      </c>
      <c r="M28" s="1">
        <v>49850</v>
      </c>
      <c r="N28" s="1">
        <v>55934</v>
      </c>
      <c r="O28" s="1">
        <v>590466</v>
      </c>
      <c r="P28" s="1">
        <v>371154</v>
      </c>
      <c r="Q28" s="1">
        <v>69268</v>
      </c>
      <c r="R28" s="1">
        <v>176</v>
      </c>
      <c r="S28" s="1">
        <v>3056</v>
      </c>
      <c r="T28" s="1">
        <v>2</v>
      </c>
      <c r="U28" s="1">
        <v>42832</v>
      </c>
      <c r="V28" s="1">
        <v>393.56818181818181</v>
      </c>
      <c r="W28" s="2">
        <v>5.2999999999999999E-2</v>
      </c>
    </row>
    <row r="29" spans="1:23" x14ac:dyDescent="0.2">
      <c r="A29" t="s">
        <v>57</v>
      </c>
      <c r="B29" t="s">
        <v>38</v>
      </c>
      <c r="C29" s="1">
        <v>28536</v>
      </c>
      <c r="D29" s="1">
        <v>39383</v>
      </c>
      <c r="E29" s="1">
        <v>31593</v>
      </c>
      <c r="F29" s="1">
        <v>39648</v>
      </c>
      <c r="G29" s="1">
        <v>25522</v>
      </c>
      <c r="H29" s="1">
        <v>30562</v>
      </c>
      <c r="I29" s="1">
        <v>23481</v>
      </c>
      <c r="J29" s="1">
        <v>20225</v>
      </c>
      <c r="K29" s="1">
        <v>25841</v>
      </c>
      <c r="L29" s="1">
        <v>31908</v>
      </c>
      <c r="M29" s="1">
        <v>29843</v>
      </c>
      <c r="N29" s="1">
        <v>37754</v>
      </c>
      <c r="O29" s="1">
        <v>364303</v>
      </c>
      <c r="P29" s="1">
        <v>190049</v>
      </c>
      <c r="Q29" s="1">
        <v>36628</v>
      </c>
      <c r="R29" s="1">
        <v>35</v>
      </c>
      <c r="S29" s="1">
        <v>2129</v>
      </c>
      <c r="T29" s="1">
        <v>3</v>
      </c>
      <c r="U29" s="1">
        <v>145478</v>
      </c>
      <c r="V29" s="1">
        <v>1046.5142857142857</v>
      </c>
      <c r="W29" s="2">
        <v>2.1000000000000001E-2</v>
      </c>
    </row>
    <row r="30" spans="1:23" x14ac:dyDescent="0.2">
      <c r="A30" t="s">
        <v>58</v>
      </c>
      <c r="B30" t="s">
        <v>40</v>
      </c>
      <c r="C30" s="1">
        <v>53113</v>
      </c>
      <c r="D30" s="1">
        <v>62917</v>
      </c>
      <c r="E30" s="1">
        <v>64157</v>
      </c>
      <c r="F30" s="1">
        <v>68946</v>
      </c>
      <c r="G30" s="1">
        <v>48634</v>
      </c>
      <c r="H30" s="1">
        <v>54507</v>
      </c>
      <c r="I30" s="1">
        <v>45049</v>
      </c>
      <c r="J30" s="1">
        <v>28090</v>
      </c>
      <c r="K30" s="1">
        <v>42204</v>
      </c>
      <c r="L30" s="1">
        <v>47189</v>
      </c>
      <c r="M30" s="1">
        <v>55140</v>
      </c>
      <c r="N30" s="1">
        <v>68196</v>
      </c>
      <c r="O30" s="1">
        <v>638146</v>
      </c>
      <c r="P30" s="1">
        <v>372342</v>
      </c>
      <c r="Q30" s="1">
        <v>87302</v>
      </c>
      <c r="R30" s="1">
        <v>152</v>
      </c>
      <c r="S30" s="1">
        <v>2244</v>
      </c>
      <c r="T30" s="1">
        <v>2</v>
      </c>
      <c r="U30" s="1">
        <v>64460</v>
      </c>
      <c r="V30" s="1">
        <v>574.35526315789468</v>
      </c>
      <c r="W30" s="2">
        <v>2.9000000000000001E-2</v>
      </c>
    </row>
    <row r="31" spans="1:23" x14ac:dyDescent="0.2">
      <c r="A31" t="s">
        <v>59</v>
      </c>
      <c r="B31" t="s">
        <v>32</v>
      </c>
      <c r="C31" s="1">
        <v>14069</v>
      </c>
      <c r="D31" s="1">
        <v>17179</v>
      </c>
      <c r="E31" s="1">
        <v>17237</v>
      </c>
      <c r="F31" s="1">
        <v>13085</v>
      </c>
      <c r="G31" s="1">
        <v>13013</v>
      </c>
      <c r="H31" s="1">
        <v>8953</v>
      </c>
      <c r="I31" s="1">
        <v>10747</v>
      </c>
      <c r="J31" s="1">
        <v>7189</v>
      </c>
      <c r="K31" s="1">
        <v>9692</v>
      </c>
      <c r="L31" s="1">
        <v>11539</v>
      </c>
      <c r="M31" s="1">
        <v>12762</v>
      </c>
      <c r="N31" s="1">
        <v>14233</v>
      </c>
      <c r="O31" s="1">
        <v>149706</v>
      </c>
      <c r="P31" s="1">
        <v>82582</v>
      </c>
      <c r="Q31" s="1">
        <v>19223</v>
      </c>
      <c r="R31" s="1">
        <v>77</v>
      </c>
      <c r="S31" s="1">
        <v>2693</v>
      </c>
      <c r="T31" s="1">
        <v>1</v>
      </c>
      <c r="U31" s="1">
        <v>43123</v>
      </c>
      <c r="V31" s="1">
        <v>249.64935064935065</v>
      </c>
      <c r="W31" s="2">
        <v>2.8000000000000001E-2</v>
      </c>
    </row>
    <row r="32" spans="1:23" x14ac:dyDescent="0.2">
      <c r="A32" t="s">
        <v>60</v>
      </c>
      <c r="B32" t="s">
        <v>28</v>
      </c>
      <c r="C32" s="1">
        <v>25531</v>
      </c>
      <c r="D32" s="1">
        <v>36297</v>
      </c>
      <c r="E32" s="1">
        <v>36356</v>
      </c>
      <c r="F32" s="1">
        <v>33443</v>
      </c>
      <c r="G32" s="1">
        <v>29047</v>
      </c>
      <c r="H32" s="1">
        <v>22671</v>
      </c>
      <c r="I32" s="1">
        <v>18762</v>
      </c>
      <c r="J32" s="1">
        <v>15167</v>
      </c>
      <c r="K32" s="1">
        <v>24046</v>
      </c>
      <c r="L32" s="1">
        <v>22923</v>
      </c>
      <c r="M32" s="1">
        <v>25053</v>
      </c>
      <c r="N32" s="1">
        <v>35309</v>
      </c>
      <c r="O32" s="1">
        <v>324611</v>
      </c>
      <c r="P32" s="1">
        <v>162828</v>
      </c>
      <c r="Q32" s="1">
        <v>16974</v>
      </c>
      <c r="R32" s="1">
        <v>188</v>
      </c>
      <c r="S32" s="1">
        <v>1363</v>
      </c>
      <c r="T32" s="1">
        <v>3</v>
      </c>
      <c r="U32" s="1">
        <v>31352</v>
      </c>
      <c r="V32" s="1">
        <v>90.287234042553195</v>
      </c>
      <c r="W32" s="2">
        <v>6.5000000000000002E-2</v>
      </c>
    </row>
    <row r="33" spans="1:23" x14ac:dyDescent="0.2">
      <c r="A33" t="s">
        <v>61</v>
      </c>
      <c r="B33" t="s">
        <v>32</v>
      </c>
      <c r="C33" s="1">
        <v>64597</v>
      </c>
      <c r="D33" s="1">
        <v>67973</v>
      </c>
      <c r="E33" s="1">
        <v>73151</v>
      </c>
      <c r="F33" s="1">
        <v>54259</v>
      </c>
      <c r="G33" s="1">
        <v>55690</v>
      </c>
      <c r="H33" s="1">
        <v>53105</v>
      </c>
      <c r="I33" s="1">
        <v>39026</v>
      </c>
      <c r="J33" s="1">
        <v>38293</v>
      </c>
      <c r="K33" s="1">
        <v>49694</v>
      </c>
      <c r="L33" s="1">
        <v>50022</v>
      </c>
      <c r="M33" s="1">
        <v>56751</v>
      </c>
      <c r="N33" s="1">
        <v>61496</v>
      </c>
      <c r="O33" s="1">
        <v>664063</v>
      </c>
      <c r="P33" s="1">
        <v>341224</v>
      </c>
      <c r="Q33" s="1">
        <v>79315</v>
      </c>
      <c r="R33" s="1">
        <v>93</v>
      </c>
      <c r="S33" s="1">
        <v>1572</v>
      </c>
      <c r="T33" s="1">
        <v>4</v>
      </c>
      <c r="U33" s="1">
        <v>63686</v>
      </c>
      <c r="V33" s="1">
        <v>852.84946236559142</v>
      </c>
      <c r="W33" s="2">
        <v>4.8000000000000001E-2</v>
      </c>
    </row>
    <row r="34" spans="1:23" x14ac:dyDescent="0.2">
      <c r="A34" t="s">
        <v>62</v>
      </c>
      <c r="B34" t="s">
        <v>38</v>
      </c>
      <c r="C34" s="1">
        <v>49292</v>
      </c>
      <c r="D34" s="1">
        <v>47230</v>
      </c>
      <c r="E34" s="1">
        <v>47051</v>
      </c>
      <c r="F34" s="1">
        <v>51277</v>
      </c>
      <c r="G34" s="1">
        <v>42097</v>
      </c>
      <c r="H34" s="1">
        <v>34966</v>
      </c>
      <c r="I34" s="1">
        <v>28575</v>
      </c>
      <c r="J34" s="1">
        <v>25476</v>
      </c>
      <c r="K34" s="1">
        <v>33191</v>
      </c>
      <c r="L34" s="1">
        <v>28050</v>
      </c>
      <c r="M34" s="1">
        <v>36981</v>
      </c>
      <c r="N34" s="1">
        <v>48139</v>
      </c>
      <c r="O34" s="1">
        <v>472328</v>
      </c>
      <c r="P34" s="1">
        <v>196459</v>
      </c>
      <c r="Q34" s="1">
        <v>58671</v>
      </c>
      <c r="R34" s="1">
        <v>83</v>
      </c>
      <c r="S34" s="1">
        <v>2282</v>
      </c>
      <c r="T34" s="1">
        <v>2</v>
      </c>
      <c r="U34" s="1">
        <v>34175</v>
      </c>
      <c r="V34" s="1">
        <v>706.8795180722891</v>
      </c>
      <c r="W34" s="2">
        <v>7.8E-2</v>
      </c>
    </row>
    <row r="35" spans="1:23" x14ac:dyDescent="0.2">
      <c r="A35" t="s">
        <v>63</v>
      </c>
      <c r="B35" t="s">
        <v>30</v>
      </c>
      <c r="C35" s="1">
        <v>49168</v>
      </c>
      <c r="D35" s="1">
        <v>63048</v>
      </c>
      <c r="E35" s="1">
        <v>68547</v>
      </c>
      <c r="F35" s="1">
        <v>65528</v>
      </c>
      <c r="G35" s="1">
        <v>52988</v>
      </c>
      <c r="H35" s="1">
        <v>46433</v>
      </c>
      <c r="I35" s="1">
        <v>47600</v>
      </c>
      <c r="J35" s="1">
        <v>40698</v>
      </c>
      <c r="K35" s="1">
        <v>41433</v>
      </c>
      <c r="L35" s="1">
        <v>38590</v>
      </c>
      <c r="M35" s="1">
        <v>52209</v>
      </c>
      <c r="N35" s="1">
        <v>58820</v>
      </c>
      <c r="O35" s="1">
        <v>625067</v>
      </c>
      <c r="P35" s="1">
        <v>312446</v>
      </c>
      <c r="Q35" s="1">
        <v>89869</v>
      </c>
      <c r="R35" s="1">
        <v>34</v>
      </c>
      <c r="S35" s="1">
        <v>3179</v>
      </c>
      <c r="T35" s="1">
        <v>2</v>
      </c>
      <c r="U35" s="1">
        <v>85943</v>
      </c>
      <c r="V35" s="1">
        <v>2643.205882352941</v>
      </c>
      <c r="W35" s="2">
        <v>3.6999999999999998E-2</v>
      </c>
    </row>
    <row r="36" spans="1:23" x14ac:dyDescent="0.2">
      <c r="A36" t="s">
        <v>64</v>
      </c>
      <c r="B36" t="s">
        <v>32</v>
      </c>
      <c r="C36" s="1">
        <v>28520</v>
      </c>
      <c r="D36" s="1">
        <v>33972</v>
      </c>
      <c r="E36" s="1">
        <v>41063</v>
      </c>
      <c r="F36" s="1">
        <v>30733</v>
      </c>
      <c r="G36" s="1">
        <v>28538</v>
      </c>
      <c r="H36" s="1">
        <v>22674</v>
      </c>
      <c r="I36" s="1">
        <v>21962</v>
      </c>
      <c r="J36" s="1">
        <v>20360</v>
      </c>
      <c r="K36" s="1">
        <v>18273</v>
      </c>
      <c r="L36" s="1">
        <v>32196</v>
      </c>
      <c r="M36" s="1">
        <v>27616</v>
      </c>
      <c r="N36" s="1">
        <v>37367</v>
      </c>
      <c r="O36" s="1">
        <v>343280</v>
      </c>
      <c r="P36" s="1">
        <v>176484</v>
      </c>
      <c r="Q36" s="1">
        <v>23139</v>
      </c>
      <c r="R36" s="1">
        <v>162</v>
      </c>
      <c r="S36" s="1">
        <v>3642</v>
      </c>
      <c r="T36" s="1">
        <v>1</v>
      </c>
      <c r="U36" s="1">
        <v>55300</v>
      </c>
      <c r="V36" s="1">
        <v>142.83333333333334</v>
      </c>
      <c r="W36" s="2">
        <v>3.2000000000000001E-2</v>
      </c>
    </row>
    <row r="37" spans="1:23" x14ac:dyDescent="0.2">
      <c r="A37" t="s">
        <v>65</v>
      </c>
      <c r="B37" t="s">
        <v>30</v>
      </c>
      <c r="C37" s="1">
        <v>39374</v>
      </c>
      <c r="D37" s="1">
        <v>33443</v>
      </c>
      <c r="E37" s="1">
        <v>40357</v>
      </c>
      <c r="F37" s="1">
        <v>40110</v>
      </c>
      <c r="G37" s="1">
        <v>26368</v>
      </c>
      <c r="H37" s="1">
        <v>20940</v>
      </c>
      <c r="I37" s="1">
        <v>25924</v>
      </c>
      <c r="J37" s="1">
        <v>20808</v>
      </c>
      <c r="K37" s="1">
        <v>23775</v>
      </c>
      <c r="L37" s="1">
        <v>26951</v>
      </c>
      <c r="M37" s="1">
        <v>30494</v>
      </c>
      <c r="N37" s="1">
        <v>30737</v>
      </c>
      <c r="O37" s="1">
        <v>359286</v>
      </c>
      <c r="P37" s="1">
        <v>190754</v>
      </c>
      <c r="Q37" s="1">
        <v>41652</v>
      </c>
      <c r="R37" s="1">
        <v>26</v>
      </c>
      <c r="S37" s="1">
        <v>2572</v>
      </c>
      <c r="T37" s="1">
        <v>1</v>
      </c>
      <c r="U37" s="1">
        <v>14362</v>
      </c>
      <c r="V37" s="1">
        <v>1602</v>
      </c>
      <c r="W37" s="2">
        <v>8.4000000000000005E-2</v>
      </c>
    </row>
    <row r="38" spans="1:23" x14ac:dyDescent="0.2">
      <c r="A38" t="s">
        <v>66</v>
      </c>
      <c r="B38" t="s">
        <v>38</v>
      </c>
      <c r="C38" s="1">
        <v>39727</v>
      </c>
      <c r="D38" s="1">
        <v>43681</v>
      </c>
      <c r="E38" s="1">
        <v>54288</v>
      </c>
      <c r="F38" s="1">
        <v>51994</v>
      </c>
      <c r="G38" s="1">
        <v>34705</v>
      </c>
      <c r="H38" s="1">
        <v>35618</v>
      </c>
      <c r="I38" s="1">
        <v>27139</v>
      </c>
      <c r="J38" s="1">
        <v>36821</v>
      </c>
      <c r="K38" s="1">
        <v>29835</v>
      </c>
      <c r="L38" s="1">
        <v>31388</v>
      </c>
      <c r="M38" s="1">
        <v>38921</v>
      </c>
      <c r="N38" s="1">
        <v>48382</v>
      </c>
      <c r="O38" s="1">
        <v>472506</v>
      </c>
      <c r="P38" s="1">
        <v>183549</v>
      </c>
      <c r="Q38" s="1">
        <v>33576</v>
      </c>
      <c r="R38" s="1">
        <v>179</v>
      </c>
      <c r="S38" s="1">
        <v>2608</v>
      </c>
      <c r="T38" s="1">
        <v>3</v>
      </c>
      <c r="U38" s="1">
        <v>101802</v>
      </c>
      <c r="V38" s="1">
        <v>187.57541899441341</v>
      </c>
      <c r="W38" s="2">
        <v>4.7E-2</v>
      </c>
    </row>
    <row r="39" spans="1:23" x14ac:dyDescent="0.2">
      <c r="A39" t="s">
        <v>67</v>
      </c>
      <c r="B39" t="s">
        <v>24</v>
      </c>
      <c r="C39" s="1">
        <v>21922</v>
      </c>
      <c r="D39" s="1">
        <v>27018</v>
      </c>
      <c r="E39" s="1">
        <v>25196</v>
      </c>
      <c r="F39" s="1">
        <v>22255</v>
      </c>
      <c r="G39" s="1">
        <v>23858</v>
      </c>
      <c r="H39" s="1">
        <v>19705</v>
      </c>
      <c r="I39" s="1">
        <v>15914</v>
      </c>
      <c r="J39" s="1">
        <v>11382</v>
      </c>
      <c r="K39" s="1">
        <v>19942</v>
      </c>
      <c r="L39" s="1">
        <v>16477</v>
      </c>
      <c r="M39" s="1">
        <v>17885</v>
      </c>
      <c r="N39" s="1">
        <v>26381</v>
      </c>
      <c r="O39" s="1">
        <v>247939</v>
      </c>
      <c r="P39" s="1">
        <v>101151</v>
      </c>
      <c r="Q39" s="1">
        <v>23501</v>
      </c>
      <c r="R39" s="1">
        <v>75</v>
      </c>
      <c r="S39" s="1">
        <v>1209</v>
      </c>
      <c r="T39" s="1">
        <v>4</v>
      </c>
      <c r="U39" s="1">
        <v>89471</v>
      </c>
      <c r="V39" s="1">
        <v>313.34666666666669</v>
      </c>
      <c r="W39" s="2">
        <v>3.2000000000000001E-2</v>
      </c>
    </row>
    <row r="40" spans="1:23" x14ac:dyDescent="0.2">
      <c r="A40" t="s">
        <v>68</v>
      </c>
      <c r="B40" t="s">
        <v>40</v>
      </c>
      <c r="C40" s="1">
        <v>57733</v>
      </c>
      <c r="D40" s="1">
        <v>69663</v>
      </c>
      <c r="E40" s="1">
        <v>71874</v>
      </c>
      <c r="F40" s="1">
        <v>62734</v>
      </c>
      <c r="G40" s="1">
        <v>52167</v>
      </c>
      <c r="H40" s="1">
        <v>49681</v>
      </c>
      <c r="I40" s="1">
        <v>52668</v>
      </c>
      <c r="J40" s="1">
        <v>33981</v>
      </c>
      <c r="K40" s="1">
        <v>39568</v>
      </c>
      <c r="L40" s="1">
        <v>59524</v>
      </c>
      <c r="M40" s="1">
        <v>50077</v>
      </c>
      <c r="N40" s="1">
        <v>66801</v>
      </c>
      <c r="O40" s="1">
        <v>666476</v>
      </c>
      <c r="P40" s="1">
        <v>257264</v>
      </c>
      <c r="Q40" s="1">
        <v>92474</v>
      </c>
      <c r="R40" s="1">
        <v>217</v>
      </c>
      <c r="S40" s="1">
        <v>3619</v>
      </c>
      <c r="T40" s="1">
        <v>3</v>
      </c>
      <c r="U40" s="1">
        <v>81294</v>
      </c>
      <c r="V40" s="1">
        <v>426.14746543778801</v>
      </c>
      <c r="W40" s="2">
        <v>8.2000000000000003E-2</v>
      </c>
    </row>
    <row r="41" spans="1:23" x14ac:dyDescent="0.2">
      <c r="A41" t="s">
        <v>69</v>
      </c>
      <c r="B41" t="s">
        <v>24</v>
      </c>
      <c r="C41" s="1">
        <v>77674</v>
      </c>
      <c r="D41" s="1">
        <v>82135</v>
      </c>
      <c r="E41" s="1">
        <v>73843</v>
      </c>
      <c r="F41" s="1">
        <v>82804</v>
      </c>
      <c r="G41" s="1">
        <v>52565</v>
      </c>
      <c r="H41" s="1">
        <v>62489</v>
      </c>
      <c r="I41" s="1">
        <v>54221</v>
      </c>
      <c r="J41" s="1">
        <v>38874</v>
      </c>
      <c r="K41" s="1">
        <v>40405</v>
      </c>
      <c r="L41" s="1">
        <v>65710</v>
      </c>
      <c r="M41" s="1">
        <v>80411</v>
      </c>
      <c r="N41" s="1">
        <v>72305</v>
      </c>
      <c r="O41" s="1">
        <v>783442</v>
      </c>
      <c r="P41" s="1">
        <v>361639</v>
      </c>
      <c r="Q41" s="1">
        <v>81173</v>
      </c>
      <c r="R41" s="1">
        <v>165</v>
      </c>
      <c r="S41" s="1">
        <v>1697</v>
      </c>
      <c r="T41" s="1">
        <v>2</v>
      </c>
      <c r="U41" s="1">
        <v>25736</v>
      </c>
      <c r="V41" s="1">
        <v>491.95757575757574</v>
      </c>
      <c r="W41" s="2">
        <v>7.0999999999999994E-2</v>
      </c>
    </row>
    <row r="42" spans="1:23" x14ac:dyDescent="0.2">
      <c r="A42" t="s">
        <v>70</v>
      </c>
      <c r="B42" t="s">
        <v>38</v>
      </c>
      <c r="C42" s="1">
        <v>32853</v>
      </c>
      <c r="D42" s="1">
        <v>41297</v>
      </c>
      <c r="E42" s="1">
        <v>42748</v>
      </c>
      <c r="F42" s="1">
        <v>40380</v>
      </c>
      <c r="G42" s="1">
        <v>41112</v>
      </c>
      <c r="H42" s="1">
        <v>35852</v>
      </c>
      <c r="I42" s="1">
        <v>22584</v>
      </c>
      <c r="J42" s="1">
        <v>25048</v>
      </c>
      <c r="K42" s="1">
        <v>25573</v>
      </c>
      <c r="L42" s="1">
        <v>26195</v>
      </c>
      <c r="M42" s="1">
        <v>33768</v>
      </c>
      <c r="N42" s="1">
        <v>41027</v>
      </c>
      <c r="O42" s="1">
        <v>408443</v>
      </c>
      <c r="P42" s="1">
        <v>228098</v>
      </c>
      <c r="Q42" s="1">
        <v>60624</v>
      </c>
      <c r="R42" s="1">
        <v>185</v>
      </c>
      <c r="S42" s="1">
        <v>2635</v>
      </c>
      <c r="T42" s="1">
        <v>1</v>
      </c>
      <c r="U42" s="1">
        <v>28377</v>
      </c>
      <c r="V42" s="1">
        <v>327.69729729729733</v>
      </c>
      <c r="W42" s="2">
        <v>4.1000000000000002E-2</v>
      </c>
    </row>
    <row r="43" spans="1:23" x14ac:dyDescent="0.2">
      <c r="A43" t="s">
        <v>71</v>
      </c>
      <c r="B43" t="s">
        <v>28</v>
      </c>
      <c r="C43" s="1">
        <v>13818</v>
      </c>
      <c r="D43" s="1">
        <v>14363</v>
      </c>
      <c r="E43" s="1">
        <v>11338</v>
      </c>
      <c r="F43" s="1">
        <v>11867</v>
      </c>
      <c r="G43" s="1">
        <v>10567</v>
      </c>
      <c r="H43" s="1">
        <v>11046</v>
      </c>
      <c r="I43" s="1">
        <v>8201</v>
      </c>
      <c r="J43" s="1">
        <v>8218</v>
      </c>
      <c r="K43" s="1">
        <v>10378</v>
      </c>
      <c r="L43" s="1">
        <v>9376</v>
      </c>
      <c r="M43" s="1">
        <v>9249</v>
      </c>
      <c r="N43" s="1">
        <v>11593</v>
      </c>
      <c r="O43" s="1">
        <v>130021</v>
      </c>
      <c r="P43" s="1">
        <v>65287</v>
      </c>
      <c r="Q43" s="1">
        <v>9106</v>
      </c>
      <c r="R43" s="1">
        <v>157</v>
      </c>
      <c r="S43" s="1">
        <v>2539</v>
      </c>
      <c r="T43" s="1">
        <v>4</v>
      </c>
      <c r="U43" s="1">
        <v>72234</v>
      </c>
      <c r="V43" s="1">
        <v>58</v>
      </c>
      <c r="W43" s="2">
        <v>7.0000000000000007E-2</v>
      </c>
    </row>
    <row r="44" spans="1:23" x14ac:dyDescent="0.2">
      <c r="A44" t="s">
        <v>72</v>
      </c>
      <c r="B44" t="s">
        <v>38</v>
      </c>
      <c r="C44" s="1">
        <v>75881</v>
      </c>
      <c r="D44" s="1">
        <v>68798</v>
      </c>
      <c r="E44" s="1">
        <v>69350</v>
      </c>
      <c r="F44" s="1">
        <v>57891</v>
      </c>
      <c r="G44" s="1">
        <v>49680</v>
      </c>
      <c r="H44" s="1">
        <v>45036</v>
      </c>
      <c r="I44" s="1">
        <v>57105</v>
      </c>
      <c r="J44" s="1">
        <v>49477</v>
      </c>
      <c r="K44" s="1">
        <v>44756</v>
      </c>
      <c r="L44" s="1">
        <v>43915</v>
      </c>
      <c r="M44" s="1">
        <v>71575</v>
      </c>
      <c r="N44" s="1">
        <v>61206</v>
      </c>
      <c r="O44" s="1">
        <v>694675</v>
      </c>
      <c r="P44" s="1">
        <v>355824</v>
      </c>
      <c r="Q44" s="1">
        <v>105879</v>
      </c>
      <c r="R44" s="1">
        <v>123</v>
      </c>
      <c r="S44" s="1">
        <v>2892</v>
      </c>
      <c r="T44" s="1">
        <v>1</v>
      </c>
      <c r="U44" s="1">
        <v>16596</v>
      </c>
      <c r="V44" s="1">
        <v>860.80487804878044</v>
      </c>
      <c r="W44" s="2">
        <v>8.5000000000000006E-2</v>
      </c>
    </row>
    <row r="45" spans="1:23" x14ac:dyDescent="0.2">
      <c r="A45" t="s">
        <v>73</v>
      </c>
      <c r="B45" t="s">
        <v>40</v>
      </c>
      <c r="C45" s="1">
        <v>45126</v>
      </c>
      <c r="D45" s="1">
        <v>37072</v>
      </c>
      <c r="E45" s="1">
        <v>48244</v>
      </c>
      <c r="F45" s="1">
        <v>39322</v>
      </c>
      <c r="G45" s="1">
        <v>33940</v>
      </c>
      <c r="H45" s="1">
        <v>25844</v>
      </c>
      <c r="I45" s="1">
        <v>27885</v>
      </c>
      <c r="J45" s="1">
        <v>31984</v>
      </c>
      <c r="K45" s="1">
        <v>23316</v>
      </c>
      <c r="L45" s="1">
        <v>36786</v>
      </c>
      <c r="M45" s="1">
        <v>36271</v>
      </c>
      <c r="N45" s="1">
        <v>47513</v>
      </c>
      <c r="O45" s="1">
        <v>433311</v>
      </c>
      <c r="P45" s="1">
        <v>246789</v>
      </c>
      <c r="Q45" s="1">
        <v>54629</v>
      </c>
      <c r="R45" s="1">
        <v>92</v>
      </c>
      <c r="S45" s="1">
        <v>3389</v>
      </c>
      <c r="T45" s="1">
        <v>4</v>
      </c>
      <c r="U45" s="1">
        <v>149622</v>
      </c>
      <c r="V45" s="1">
        <v>593.79347826086962</v>
      </c>
      <c r="W45" s="2">
        <v>3.9E-2</v>
      </c>
    </row>
    <row r="46" spans="1:23" x14ac:dyDescent="0.2">
      <c r="A46" t="s">
        <v>74</v>
      </c>
      <c r="B46" t="s">
        <v>26</v>
      </c>
      <c r="C46" s="1">
        <v>9480</v>
      </c>
      <c r="D46" s="1">
        <v>12970</v>
      </c>
      <c r="E46" s="1">
        <v>10737</v>
      </c>
      <c r="F46" s="1">
        <v>10918</v>
      </c>
      <c r="G46" s="1">
        <v>7870</v>
      </c>
      <c r="H46" s="1">
        <v>7671</v>
      </c>
      <c r="I46" s="1">
        <v>7858</v>
      </c>
      <c r="J46" s="1">
        <v>8404</v>
      </c>
      <c r="K46" s="1">
        <v>8739</v>
      </c>
      <c r="L46" s="1">
        <v>8704</v>
      </c>
      <c r="M46" s="1">
        <v>10157</v>
      </c>
      <c r="N46" s="1">
        <v>9911</v>
      </c>
      <c r="O46" s="1">
        <v>113426</v>
      </c>
      <c r="P46" s="1">
        <v>51990</v>
      </c>
      <c r="Q46" s="1">
        <v>8780</v>
      </c>
      <c r="R46" s="1">
        <v>96</v>
      </c>
      <c r="S46" s="1">
        <v>2649</v>
      </c>
      <c r="T46" s="1">
        <v>1</v>
      </c>
      <c r="U46" s="1">
        <v>34995</v>
      </c>
      <c r="V46" s="1">
        <v>91.458333333333329</v>
      </c>
      <c r="W46" s="2">
        <v>4.1000000000000002E-2</v>
      </c>
    </row>
    <row r="47" spans="1:23" x14ac:dyDescent="0.2">
      <c r="A47" t="s">
        <v>75</v>
      </c>
      <c r="B47" t="s">
        <v>28</v>
      </c>
      <c r="C47" s="1">
        <v>76814</v>
      </c>
      <c r="D47" s="1">
        <v>75369</v>
      </c>
      <c r="E47" s="1">
        <v>66042</v>
      </c>
      <c r="F47" s="1">
        <v>64336</v>
      </c>
      <c r="G47" s="1">
        <v>64380</v>
      </c>
      <c r="H47" s="1">
        <v>41875</v>
      </c>
      <c r="I47" s="1">
        <v>41614</v>
      </c>
      <c r="J47" s="1">
        <v>34749</v>
      </c>
      <c r="K47" s="1">
        <v>42004</v>
      </c>
      <c r="L47" s="1">
        <v>57520</v>
      </c>
      <c r="M47" s="1">
        <v>66457</v>
      </c>
      <c r="N47" s="1">
        <v>65429</v>
      </c>
      <c r="O47" s="1">
        <v>696596</v>
      </c>
      <c r="P47" s="1">
        <v>336817</v>
      </c>
      <c r="Q47" s="1">
        <v>47446</v>
      </c>
      <c r="R47" s="1">
        <v>88</v>
      </c>
      <c r="S47" s="1">
        <v>3299</v>
      </c>
      <c r="T47" s="1">
        <v>3</v>
      </c>
      <c r="U47" s="1">
        <v>60136</v>
      </c>
      <c r="V47" s="1">
        <v>539.15909090909088</v>
      </c>
      <c r="W47" s="2">
        <v>8.5000000000000006E-2</v>
      </c>
    </row>
    <row r="48" spans="1:23" x14ac:dyDescent="0.2">
      <c r="A48" t="s">
        <v>76</v>
      </c>
      <c r="B48" t="s">
        <v>26</v>
      </c>
      <c r="C48" s="1">
        <v>78108</v>
      </c>
      <c r="D48" s="1">
        <v>90403</v>
      </c>
      <c r="E48" s="1">
        <v>88510</v>
      </c>
      <c r="F48" s="1">
        <v>68505</v>
      </c>
      <c r="G48" s="1">
        <v>71466</v>
      </c>
      <c r="H48" s="1">
        <v>57539</v>
      </c>
      <c r="I48" s="1">
        <v>40476</v>
      </c>
      <c r="J48" s="1">
        <v>54063</v>
      </c>
      <c r="K48" s="1">
        <v>58035</v>
      </c>
      <c r="L48" s="1">
        <v>68752</v>
      </c>
      <c r="M48" s="1">
        <v>79699</v>
      </c>
      <c r="N48" s="1">
        <v>83654</v>
      </c>
      <c r="O48" s="1">
        <v>839215</v>
      </c>
      <c r="P48" s="1">
        <v>388274</v>
      </c>
      <c r="Q48" s="1">
        <v>121263</v>
      </c>
      <c r="R48" s="1">
        <v>100</v>
      </c>
      <c r="S48" s="1">
        <v>3937</v>
      </c>
      <c r="T48" s="1">
        <v>2</v>
      </c>
      <c r="U48" s="1">
        <v>64105</v>
      </c>
      <c r="V48" s="1">
        <v>1212.6300000000001</v>
      </c>
      <c r="W48" s="2">
        <v>6.6000000000000003E-2</v>
      </c>
    </row>
    <row r="49" spans="1:23" x14ac:dyDescent="0.2">
      <c r="A49" t="s">
        <v>77</v>
      </c>
      <c r="B49" t="s">
        <v>26</v>
      </c>
      <c r="C49" s="1">
        <v>25810</v>
      </c>
      <c r="D49" s="1">
        <v>30040</v>
      </c>
      <c r="E49" s="1">
        <v>23494</v>
      </c>
      <c r="F49" s="1">
        <v>24475</v>
      </c>
      <c r="G49" s="1">
        <v>24153</v>
      </c>
      <c r="H49" s="1">
        <v>20707</v>
      </c>
      <c r="I49" s="1">
        <v>19733</v>
      </c>
      <c r="J49" s="1">
        <v>20917</v>
      </c>
      <c r="K49" s="1">
        <v>17686</v>
      </c>
      <c r="L49" s="1">
        <v>16531</v>
      </c>
      <c r="M49" s="1">
        <v>27446</v>
      </c>
      <c r="N49" s="1">
        <v>27464</v>
      </c>
      <c r="O49" s="1">
        <v>278461</v>
      </c>
      <c r="P49" s="1">
        <v>165244</v>
      </c>
      <c r="Q49" s="1">
        <v>38125</v>
      </c>
      <c r="R49" s="1">
        <v>41</v>
      </c>
      <c r="S49" s="1">
        <v>2468</v>
      </c>
      <c r="T49" s="1">
        <v>3</v>
      </c>
      <c r="U49" s="1">
        <v>86009</v>
      </c>
      <c r="V49" s="1">
        <v>929.8780487804878</v>
      </c>
      <c r="W49" s="2">
        <v>3.5000000000000003E-2</v>
      </c>
    </row>
    <row r="50" spans="1:23" x14ac:dyDescent="0.2">
      <c r="A50" t="s">
        <v>78</v>
      </c>
      <c r="B50" t="s">
        <v>32</v>
      </c>
      <c r="C50" s="1">
        <v>33410</v>
      </c>
      <c r="D50" s="1">
        <v>36394</v>
      </c>
      <c r="E50" s="1">
        <v>31115</v>
      </c>
      <c r="F50" s="1">
        <v>35630</v>
      </c>
      <c r="G50" s="1">
        <v>32045</v>
      </c>
      <c r="H50" s="1">
        <v>29362</v>
      </c>
      <c r="I50" s="1">
        <v>21269</v>
      </c>
      <c r="J50" s="1">
        <v>22659</v>
      </c>
      <c r="K50" s="1">
        <v>21494</v>
      </c>
      <c r="L50" s="1">
        <v>26412</v>
      </c>
      <c r="M50" s="1">
        <v>32964</v>
      </c>
      <c r="N50" s="1">
        <v>34869</v>
      </c>
      <c r="O50" s="1">
        <v>357630</v>
      </c>
      <c r="P50" s="1">
        <v>212999</v>
      </c>
      <c r="Q50" s="1">
        <v>31869</v>
      </c>
      <c r="R50" s="1">
        <v>156</v>
      </c>
      <c r="S50" s="1">
        <v>3812</v>
      </c>
      <c r="T50" s="1">
        <v>2</v>
      </c>
      <c r="U50" s="1">
        <v>64234</v>
      </c>
      <c r="V50" s="1">
        <v>204.28846153846155</v>
      </c>
      <c r="W50" s="2">
        <v>4.8000000000000001E-2</v>
      </c>
    </row>
    <row r="51" spans="1:23" x14ac:dyDescent="0.2">
      <c r="A51" t="s">
        <v>79</v>
      </c>
      <c r="B51" t="s">
        <v>38</v>
      </c>
      <c r="C51" s="1">
        <v>45597</v>
      </c>
      <c r="D51" s="1">
        <v>42502</v>
      </c>
      <c r="E51" s="1">
        <v>50456</v>
      </c>
      <c r="F51" s="1">
        <v>45182</v>
      </c>
      <c r="G51" s="1">
        <v>34753</v>
      </c>
      <c r="H51" s="1">
        <v>30801</v>
      </c>
      <c r="I51" s="1">
        <v>31899</v>
      </c>
      <c r="J51" s="1">
        <v>30429</v>
      </c>
      <c r="K51" s="1">
        <v>36056</v>
      </c>
      <c r="L51" s="1">
        <v>28747</v>
      </c>
      <c r="M51" s="1">
        <v>39387</v>
      </c>
      <c r="N51" s="1">
        <v>44779</v>
      </c>
      <c r="O51" s="1">
        <v>460594</v>
      </c>
      <c r="P51" s="1">
        <v>197274</v>
      </c>
      <c r="Q51" s="1">
        <v>54171</v>
      </c>
      <c r="R51" s="1">
        <v>125</v>
      </c>
      <c r="S51" s="1">
        <v>3995</v>
      </c>
      <c r="T51" s="1">
        <v>4</v>
      </c>
      <c r="U51" s="1">
        <v>338360</v>
      </c>
      <c r="V51" s="1">
        <v>433.36799999999999</v>
      </c>
      <c r="W51" s="2">
        <v>2.7E-2</v>
      </c>
    </row>
    <row r="52" spans="1:23" x14ac:dyDescent="0.2">
      <c r="A52" t="s">
        <v>80</v>
      </c>
      <c r="B52" t="s">
        <v>38</v>
      </c>
      <c r="C52" s="1">
        <v>64134</v>
      </c>
      <c r="D52" s="1">
        <v>71225</v>
      </c>
      <c r="E52" s="1">
        <v>79963</v>
      </c>
      <c r="F52" s="1">
        <v>59428</v>
      </c>
      <c r="G52" s="1">
        <v>55103</v>
      </c>
      <c r="H52" s="1">
        <v>58536</v>
      </c>
      <c r="I52" s="1">
        <v>58202</v>
      </c>
      <c r="J52" s="1">
        <v>52611</v>
      </c>
      <c r="K52" s="1">
        <v>51750</v>
      </c>
      <c r="L52" s="1">
        <v>56247</v>
      </c>
      <c r="M52" s="1">
        <v>65034</v>
      </c>
      <c r="N52" s="1">
        <v>73701</v>
      </c>
      <c r="O52" s="1">
        <v>745938</v>
      </c>
      <c r="P52" s="1">
        <v>359743</v>
      </c>
      <c r="Q52" s="1">
        <v>45566</v>
      </c>
      <c r="R52" s="1">
        <v>216</v>
      </c>
      <c r="S52" s="1">
        <v>3104</v>
      </c>
      <c r="T52" s="1">
        <v>2</v>
      </c>
      <c r="U52" s="1">
        <v>47971</v>
      </c>
      <c r="V52" s="1">
        <v>210.9537037037037</v>
      </c>
      <c r="W52" s="2">
        <v>6.7000000000000004E-2</v>
      </c>
    </row>
    <row r="53" spans="1:23" x14ac:dyDescent="0.2">
      <c r="A53" t="s">
        <v>81</v>
      </c>
      <c r="B53" t="s">
        <v>24</v>
      </c>
      <c r="C53" s="1">
        <v>58008</v>
      </c>
      <c r="D53" s="1">
        <v>70614</v>
      </c>
      <c r="E53" s="1">
        <v>78507</v>
      </c>
      <c r="F53" s="1">
        <v>72041</v>
      </c>
      <c r="G53" s="1">
        <v>61261</v>
      </c>
      <c r="H53" s="1">
        <v>59998</v>
      </c>
      <c r="I53" s="1">
        <v>36790</v>
      </c>
      <c r="J53" s="1">
        <v>31785</v>
      </c>
      <c r="K53" s="1">
        <v>37144</v>
      </c>
      <c r="L53" s="1">
        <v>47439</v>
      </c>
      <c r="M53" s="1">
        <v>51702</v>
      </c>
      <c r="N53" s="1">
        <v>71338</v>
      </c>
      <c r="O53" s="1">
        <v>676633</v>
      </c>
      <c r="P53" s="1">
        <v>437718</v>
      </c>
      <c r="Q53" s="1">
        <v>81008</v>
      </c>
      <c r="R53" s="1">
        <v>92</v>
      </c>
      <c r="S53" s="1">
        <v>1626</v>
      </c>
      <c r="T53" s="1">
        <v>4</v>
      </c>
      <c r="U53" s="1">
        <v>42528</v>
      </c>
      <c r="V53" s="1">
        <v>880.52173913043475</v>
      </c>
      <c r="W53" s="2">
        <v>5.3999999999999999E-2</v>
      </c>
    </row>
    <row r="54" spans="1:23" x14ac:dyDescent="0.2">
      <c r="A54" t="s">
        <v>82</v>
      </c>
      <c r="B54" t="s">
        <v>24</v>
      </c>
      <c r="C54" s="1">
        <v>68749</v>
      </c>
      <c r="D54" s="1">
        <v>79687</v>
      </c>
      <c r="E54" s="1">
        <v>71768</v>
      </c>
      <c r="F54" s="1">
        <v>64754</v>
      </c>
      <c r="G54" s="1">
        <v>66215</v>
      </c>
      <c r="H54" s="1">
        <v>40285</v>
      </c>
      <c r="I54" s="1">
        <v>54246</v>
      </c>
      <c r="J54" s="1">
        <v>47417</v>
      </c>
      <c r="K54" s="1">
        <v>39408</v>
      </c>
      <c r="L54" s="1">
        <v>57340</v>
      </c>
      <c r="M54" s="1">
        <v>69961</v>
      </c>
      <c r="N54" s="1">
        <v>60413</v>
      </c>
      <c r="O54" s="1">
        <v>720249</v>
      </c>
      <c r="P54" s="1">
        <v>253926</v>
      </c>
      <c r="Q54" s="1">
        <v>60944</v>
      </c>
      <c r="R54" s="1">
        <v>59</v>
      </c>
      <c r="S54" s="1">
        <v>1163</v>
      </c>
      <c r="T54" s="1">
        <v>2</v>
      </c>
      <c r="U54" s="1">
        <v>19815</v>
      </c>
      <c r="V54" s="1">
        <v>1032.949152542373</v>
      </c>
      <c r="W54" s="2">
        <v>7.5999999999999998E-2</v>
      </c>
    </row>
    <row r="55" spans="1:23" x14ac:dyDescent="0.2">
      <c r="A55" t="s">
        <v>83</v>
      </c>
      <c r="B55" t="s">
        <v>28</v>
      </c>
      <c r="C55" s="1">
        <v>20401</v>
      </c>
      <c r="D55" s="1">
        <v>23211</v>
      </c>
      <c r="E55" s="1">
        <v>22349</v>
      </c>
      <c r="F55" s="1">
        <v>21682</v>
      </c>
      <c r="G55" s="1">
        <v>20168</v>
      </c>
      <c r="H55" s="1">
        <v>11649</v>
      </c>
      <c r="I55" s="1">
        <v>12455</v>
      </c>
      <c r="J55" s="1">
        <v>12134</v>
      </c>
      <c r="K55" s="1">
        <v>16261</v>
      </c>
      <c r="L55" s="1">
        <v>13248</v>
      </c>
      <c r="M55" s="1">
        <v>14879</v>
      </c>
      <c r="N55" s="1">
        <v>20628</v>
      </c>
      <c r="O55" s="1">
        <v>209071</v>
      </c>
      <c r="P55" s="1">
        <v>101955</v>
      </c>
      <c r="Q55" s="1">
        <v>32851</v>
      </c>
      <c r="R55" s="1">
        <v>173</v>
      </c>
      <c r="S55" s="1">
        <v>2508</v>
      </c>
      <c r="T55" s="1">
        <v>1</v>
      </c>
      <c r="U55" s="1">
        <v>17364</v>
      </c>
      <c r="V55" s="1">
        <v>189.89017341040463</v>
      </c>
      <c r="W55" s="2">
        <v>7.3999999999999996E-2</v>
      </c>
    </row>
    <row r="56" spans="1:23" x14ac:dyDescent="0.2">
      <c r="A56" t="s">
        <v>84</v>
      </c>
      <c r="B56" t="s">
        <v>32</v>
      </c>
      <c r="C56" s="1">
        <v>37828</v>
      </c>
      <c r="D56" s="1">
        <v>48115</v>
      </c>
      <c r="E56" s="1">
        <v>46191</v>
      </c>
      <c r="F56" s="1">
        <v>39744</v>
      </c>
      <c r="G56" s="1">
        <v>35309</v>
      </c>
      <c r="H56" s="1">
        <v>35817</v>
      </c>
      <c r="I56" s="1">
        <v>31069</v>
      </c>
      <c r="J56" s="1">
        <v>24514</v>
      </c>
      <c r="K56" s="1">
        <v>23297</v>
      </c>
      <c r="L56" s="1">
        <v>27846</v>
      </c>
      <c r="M56" s="1">
        <v>43948</v>
      </c>
      <c r="N56" s="1">
        <v>44810</v>
      </c>
      <c r="O56" s="1">
        <v>438495</v>
      </c>
      <c r="P56" s="1">
        <v>259132</v>
      </c>
      <c r="Q56" s="1">
        <v>51864</v>
      </c>
      <c r="R56" s="1">
        <v>192</v>
      </c>
      <c r="S56" s="1">
        <v>1116</v>
      </c>
      <c r="T56" s="1">
        <v>4</v>
      </c>
      <c r="U56" s="1">
        <v>23113</v>
      </c>
      <c r="V56" s="1">
        <v>270.125</v>
      </c>
      <c r="W56" s="2">
        <v>7.9000000000000001E-2</v>
      </c>
    </row>
    <row r="57" spans="1:23" x14ac:dyDescent="0.2">
      <c r="A57" t="s">
        <v>85</v>
      </c>
      <c r="B57" t="s">
        <v>28</v>
      </c>
      <c r="C57" s="1">
        <v>73550</v>
      </c>
      <c r="D57" s="1">
        <v>71951</v>
      </c>
      <c r="E57" s="1">
        <v>81289</v>
      </c>
      <c r="F57" s="1">
        <v>63363</v>
      </c>
      <c r="G57" s="1">
        <v>61807</v>
      </c>
      <c r="H57" s="1">
        <v>47304</v>
      </c>
      <c r="I57" s="1">
        <v>56470</v>
      </c>
      <c r="J57" s="1">
        <v>33883</v>
      </c>
      <c r="K57" s="1">
        <v>49109</v>
      </c>
      <c r="L57" s="1">
        <v>60852</v>
      </c>
      <c r="M57" s="1">
        <v>76342</v>
      </c>
      <c r="N57" s="1">
        <v>77978</v>
      </c>
      <c r="O57" s="1">
        <v>753903</v>
      </c>
      <c r="P57" s="1">
        <v>466418</v>
      </c>
      <c r="Q57" s="1">
        <v>66416</v>
      </c>
      <c r="R57" s="1">
        <v>177</v>
      </c>
      <c r="S57" s="1">
        <v>933</v>
      </c>
      <c r="T57" s="1">
        <v>1</v>
      </c>
      <c r="U57" s="1">
        <v>9122</v>
      </c>
      <c r="V57" s="1">
        <v>375.23163841807911</v>
      </c>
      <c r="W57" s="2">
        <v>3.9E-2</v>
      </c>
    </row>
    <row r="58" spans="1:23" x14ac:dyDescent="0.2">
      <c r="A58" t="s">
        <v>86</v>
      </c>
      <c r="B58" t="s">
        <v>30</v>
      </c>
      <c r="C58" s="1">
        <v>65703</v>
      </c>
      <c r="D58" s="1">
        <v>82049</v>
      </c>
      <c r="E58" s="1">
        <v>74777</v>
      </c>
      <c r="F58" s="1">
        <v>70229</v>
      </c>
      <c r="G58" s="1">
        <v>62639</v>
      </c>
      <c r="H58" s="1">
        <v>59258</v>
      </c>
      <c r="I58" s="1">
        <v>53885</v>
      </c>
      <c r="J58" s="1">
        <v>41066</v>
      </c>
      <c r="K58" s="1">
        <v>52983</v>
      </c>
      <c r="L58" s="1">
        <v>69045</v>
      </c>
      <c r="M58" s="1">
        <v>68637</v>
      </c>
      <c r="N58" s="1">
        <v>81611</v>
      </c>
      <c r="O58" s="1">
        <v>781886</v>
      </c>
      <c r="P58" s="1">
        <v>302347</v>
      </c>
      <c r="Q58" s="1">
        <v>89933</v>
      </c>
      <c r="R58" s="1">
        <v>150</v>
      </c>
      <c r="S58" s="1">
        <v>1112</v>
      </c>
      <c r="T58" s="1">
        <v>2</v>
      </c>
      <c r="U58" s="1">
        <v>64952</v>
      </c>
      <c r="V58" s="1">
        <v>599.55333333333328</v>
      </c>
      <c r="W58" s="2">
        <v>2.1000000000000001E-2</v>
      </c>
    </row>
    <row r="59" spans="1:23" x14ac:dyDescent="0.2">
      <c r="A59" t="s">
        <v>87</v>
      </c>
      <c r="B59" t="s">
        <v>40</v>
      </c>
      <c r="C59" s="1">
        <v>25006</v>
      </c>
      <c r="D59" s="1">
        <v>21864</v>
      </c>
      <c r="E59" s="1">
        <v>24936</v>
      </c>
      <c r="F59" s="1">
        <v>19580</v>
      </c>
      <c r="G59" s="1">
        <v>16338</v>
      </c>
      <c r="H59" s="1">
        <v>19373</v>
      </c>
      <c r="I59" s="1">
        <v>17015</v>
      </c>
      <c r="J59" s="1">
        <v>11105</v>
      </c>
      <c r="K59" s="1">
        <v>18597</v>
      </c>
      <c r="L59" s="1">
        <v>18451</v>
      </c>
      <c r="M59" s="1">
        <v>20682</v>
      </c>
      <c r="N59" s="1">
        <v>25352</v>
      </c>
      <c r="O59" s="1">
        <v>238305</v>
      </c>
      <c r="P59" s="1">
        <v>140064</v>
      </c>
      <c r="Q59" s="1">
        <v>36999</v>
      </c>
      <c r="R59" s="1">
        <v>191</v>
      </c>
      <c r="S59" s="1">
        <v>1094</v>
      </c>
      <c r="T59" s="1">
        <v>4</v>
      </c>
      <c r="U59" s="1">
        <v>24712</v>
      </c>
      <c r="V59" s="1">
        <v>193.71204188481676</v>
      </c>
      <c r="W59" s="2">
        <v>7.2999999999999995E-2</v>
      </c>
    </row>
    <row r="60" spans="1:23" x14ac:dyDescent="0.2">
      <c r="A60" t="s">
        <v>88</v>
      </c>
      <c r="B60" t="s">
        <v>40</v>
      </c>
      <c r="C60" s="1">
        <v>12616</v>
      </c>
      <c r="D60" s="1">
        <v>13142</v>
      </c>
      <c r="E60" s="1">
        <v>13152</v>
      </c>
      <c r="F60" s="1">
        <v>12617</v>
      </c>
      <c r="G60" s="1">
        <v>11238</v>
      </c>
      <c r="H60" s="1">
        <v>8554</v>
      </c>
      <c r="I60" s="1">
        <v>7455</v>
      </c>
      <c r="J60" s="1">
        <v>7473</v>
      </c>
      <c r="K60" s="1">
        <v>10466</v>
      </c>
      <c r="L60" s="1">
        <v>9313</v>
      </c>
      <c r="M60" s="1">
        <v>11866</v>
      </c>
      <c r="N60" s="1">
        <v>12305</v>
      </c>
      <c r="O60" s="1">
        <v>130204</v>
      </c>
      <c r="P60" s="1">
        <v>75993</v>
      </c>
      <c r="Q60" s="1">
        <v>10698</v>
      </c>
      <c r="R60" s="1">
        <v>197</v>
      </c>
      <c r="S60" s="1">
        <v>3073</v>
      </c>
      <c r="T60" s="1">
        <v>2</v>
      </c>
      <c r="U60" s="1">
        <v>65613</v>
      </c>
      <c r="V60" s="1">
        <v>54.304568527918782</v>
      </c>
      <c r="W60" s="2">
        <v>3.9E-2</v>
      </c>
    </row>
    <row r="61" spans="1:23" x14ac:dyDescent="0.2">
      <c r="A61" t="s">
        <v>89</v>
      </c>
      <c r="B61" t="s">
        <v>38</v>
      </c>
      <c r="C61" s="1">
        <v>48779</v>
      </c>
      <c r="D61" s="1">
        <v>45698</v>
      </c>
      <c r="E61" s="1">
        <v>55861</v>
      </c>
      <c r="F61" s="1">
        <v>54062</v>
      </c>
      <c r="G61" s="1">
        <v>36619</v>
      </c>
      <c r="H61" s="1">
        <v>36269</v>
      </c>
      <c r="I61" s="1">
        <v>23734</v>
      </c>
      <c r="J61" s="1">
        <v>37863</v>
      </c>
      <c r="K61" s="1">
        <v>25236</v>
      </c>
      <c r="L61" s="1">
        <v>35684</v>
      </c>
      <c r="M61" s="1">
        <v>41458</v>
      </c>
      <c r="N61" s="1">
        <v>43867</v>
      </c>
      <c r="O61" s="1">
        <v>485137</v>
      </c>
      <c r="P61" s="1">
        <v>229173</v>
      </c>
      <c r="Q61" s="1">
        <v>41541</v>
      </c>
      <c r="R61" s="1">
        <v>80</v>
      </c>
      <c r="S61" s="1">
        <v>1331</v>
      </c>
      <c r="T61" s="1">
        <v>4</v>
      </c>
      <c r="U61" s="1">
        <v>31561</v>
      </c>
      <c r="V61" s="1">
        <v>519.26250000000005</v>
      </c>
      <c r="W61" s="2">
        <v>8.8999999999999996E-2</v>
      </c>
    </row>
    <row r="62" spans="1:23" x14ac:dyDescent="0.2">
      <c r="A62" t="s">
        <v>90</v>
      </c>
      <c r="B62" t="s">
        <v>28</v>
      </c>
      <c r="C62" s="1">
        <v>46837</v>
      </c>
      <c r="D62" s="1">
        <v>42611</v>
      </c>
      <c r="E62" s="1">
        <v>55074</v>
      </c>
      <c r="F62" s="1">
        <v>49396</v>
      </c>
      <c r="G62" s="1">
        <v>33768</v>
      </c>
      <c r="H62" s="1">
        <v>27424</v>
      </c>
      <c r="I62" s="1">
        <v>36584</v>
      </c>
      <c r="J62" s="1">
        <v>22469</v>
      </c>
      <c r="K62" s="1">
        <v>31749</v>
      </c>
      <c r="L62" s="1">
        <v>38322</v>
      </c>
      <c r="M62" s="1">
        <v>43827</v>
      </c>
      <c r="N62" s="1">
        <v>49677</v>
      </c>
      <c r="O62" s="1">
        <v>477743</v>
      </c>
      <c r="P62" s="1">
        <v>253401</v>
      </c>
      <c r="Q62" s="1">
        <v>67561</v>
      </c>
      <c r="R62" s="1">
        <v>24</v>
      </c>
      <c r="S62" s="1">
        <v>3946</v>
      </c>
      <c r="T62" s="1">
        <v>1</v>
      </c>
      <c r="U62" s="1">
        <v>25040</v>
      </c>
      <c r="V62" s="1">
        <v>2815.0416666666665</v>
      </c>
      <c r="W62" s="2">
        <v>7.3999999999999996E-2</v>
      </c>
    </row>
    <row r="63" spans="1:23" x14ac:dyDescent="0.2">
      <c r="A63" t="s">
        <v>91</v>
      </c>
      <c r="B63" t="s">
        <v>40</v>
      </c>
      <c r="C63" s="1">
        <v>25674</v>
      </c>
      <c r="D63" s="1">
        <v>25513</v>
      </c>
      <c r="E63" s="1">
        <v>25056</v>
      </c>
      <c r="F63" s="1">
        <v>29006</v>
      </c>
      <c r="G63" s="1">
        <v>27830</v>
      </c>
      <c r="H63" s="1">
        <v>21677</v>
      </c>
      <c r="I63" s="1">
        <v>15207</v>
      </c>
      <c r="J63" s="1">
        <v>15640</v>
      </c>
      <c r="K63" s="1">
        <v>19372</v>
      </c>
      <c r="L63" s="1">
        <v>20024</v>
      </c>
      <c r="M63" s="1">
        <v>21431</v>
      </c>
      <c r="N63" s="1">
        <v>27966</v>
      </c>
      <c r="O63" s="1">
        <v>274401</v>
      </c>
      <c r="P63" s="1">
        <v>117926</v>
      </c>
      <c r="Q63" s="1">
        <v>30346</v>
      </c>
      <c r="R63" s="1">
        <v>186</v>
      </c>
      <c r="S63" s="1">
        <v>2883</v>
      </c>
      <c r="T63" s="1">
        <v>4</v>
      </c>
      <c r="U63" s="1">
        <v>234858</v>
      </c>
      <c r="V63" s="1">
        <v>163.15053763440861</v>
      </c>
      <c r="W63" s="2">
        <v>2.8000000000000001E-2</v>
      </c>
    </row>
    <row r="64" spans="1:23" x14ac:dyDescent="0.2">
      <c r="A64" t="s">
        <v>92</v>
      </c>
      <c r="B64" t="s">
        <v>26</v>
      </c>
      <c r="C64" s="1">
        <v>64811</v>
      </c>
      <c r="D64" s="1">
        <v>94208</v>
      </c>
      <c r="E64" s="1">
        <v>75229</v>
      </c>
      <c r="F64" s="1">
        <v>86879</v>
      </c>
      <c r="G64" s="1">
        <v>78271</v>
      </c>
      <c r="H64" s="1">
        <v>62860</v>
      </c>
      <c r="I64" s="1">
        <v>48687</v>
      </c>
      <c r="J64" s="1">
        <v>54153</v>
      </c>
      <c r="K64" s="1">
        <v>52355</v>
      </c>
      <c r="L64" s="1">
        <v>65109</v>
      </c>
      <c r="M64" s="1">
        <v>63558</v>
      </c>
      <c r="N64" s="1">
        <v>73026</v>
      </c>
      <c r="O64" s="1">
        <v>819152</v>
      </c>
      <c r="P64" s="1">
        <v>516280</v>
      </c>
      <c r="Q64" s="1">
        <v>89162</v>
      </c>
      <c r="R64" s="1">
        <v>50</v>
      </c>
      <c r="S64" s="1">
        <v>951</v>
      </c>
      <c r="T64" s="1">
        <v>3</v>
      </c>
      <c r="U64" s="1">
        <v>23441</v>
      </c>
      <c r="V64" s="1">
        <v>1783.24</v>
      </c>
      <c r="W64" s="2">
        <v>4.4999999999999998E-2</v>
      </c>
    </row>
    <row r="65" spans="1:23" x14ac:dyDescent="0.2">
      <c r="A65" t="s">
        <v>93</v>
      </c>
      <c r="B65" t="s">
        <v>28</v>
      </c>
      <c r="C65" s="1">
        <v>9914</v>
      </c>
      <c r="D65" s="1">
        <v>11337</v>
      </c>
      <c r="E65" s="1">
        <v>9364</v>
      </c>
      <c r="F65" s="1">
        <v>8310</v>
      </c>
      <c r="G65" s="1">
        <v>8619</v>
      </c>
      <c r="H65" s="1">
        <v>7434</v>
      </c>
      <c r="I65" s="1">
        <v>5767</v>
      </c>
      <c r="J65" s="1">
        <v>6035</v>
      </c>
      <c r="K65" s="1">
        <v>7416</v>
      </c>
      <c r="L65" s="1">
        <v>6469</v>
      </c>
      <c r="M65" s="1">
        <v>10415</v>
      </c>
      <c r="N65" s="1">
        <v>9565</v>
      </c>
      <c r="O65" s="1">
        <v>100651</v>
      </c>
      <c r="P65" s="1">
        <v>55029</v>
      </c>
      <c r="Q65" s="1">
        <v>6634</v>
      </c>
      <c r="R65" s="1">
        <v>31</v>
      </c>
      <c r="S65" s="1">
        <v>1138</v>
      </c>
      <c r="T65" s="1">
        <v>2</v>
      </c>
      <c r="U65" s="1">
        <v>25162</v>
      </c>
      <c r="V65" s="1">
        <v>214</v>
      </c>
      <c r="W65" s="2">
        <v>4.1000000000000002E-2</v>
      </c>
    </row>
    <row r="66" spans="1:23" x14ac:dyDescent="0.2">
      <c r="A66" t="s">
        <v>94</v>
      </c>
      <c r="B66" t="s">
        <v>32</v>
      </c>
      <c r="C66" s="1">
        <v>59230</v>
      </c>
      <c r="D66" s="1">
        <v>73762</v>
      </c>
      <c r="E66" s="1">
        <v>72585</v>
      </c>
      <c r="F66" s="1">
        <v>52042</v>
      </c>
      <c r="G66" s="1">
        <v>60812</v>
      </c>
      <c r="H66" s="1">
        <v>55977</v>
      </c>
      <c r="I66" s="1">
        <v>31464</v>
      </c>
      <c r="J66" s="1">
        <v>34705</v>
      </c>
      <c r="K66" s="1">
        <v>37709</v>
      </c>
      <c r="L66" s="1">
        <v>50318</v>
      </c>
      <c r="M66" s="1">
        <v>54734</v>
      </c>
      <c r="N66" s="1">
        <v>64728</v>
      </c>
      <c r="O66" s="1">
        <v>648070</v>
      </c>
      <c r="P66" s="1">
        <v>253491</v>
      </c>
      <c r="Q66" s="1">
        <v>100388</v>
      </c>
      <c r="R66" s="1">
        <v>125</v>
      </c>
      <c r="S66" s="1">
        <v>3829</v>
      </c>
      <c r="T66" s="1">
        <v>4</v>
      </c>
      <c r="U66" s="1">
        <v>373007</v>
      </c>
      <c r="V66" s="1">
        <v>803.10400000000004</v>
      </c>
      <c r="W66" s="2">
        <v>2.5000000000000001E-2</v>
      </c>
    </row>
    <row r="67" spans="1:23" x14ac:dyDescent="0.2">
      <c r="A67" t="s">
        <v>95</v>
      </c>
      <c r="B67" t="s">
        <v>26</v>
      </c>
      <c r="C67" s="1">
        <v>25559</v>
      </c>
      <c r="D67" s="1">
        <v>29069</v>
      </c>
      <c r="E67" s="1">
        <v>31837</v>
      </c>
      <c r="F67" s="1">
        <v>31038</v>
      </c>
      <c r="G67" s="1">
        <v>20162</v>
      </c>
      <c r="H67" s="1">
        <v>20100</v>
      </c>
      <c r="I67" s="1">
        <v>15676</v>
      </c>
      <c r="J67" s="1">
        <v>13879</v>
      </c>
      <c r="K67" s="1">
        <v>21087</v>
      </c>
      <c r="L67" s="1">
        <v>21484</v>
      </c>
      <c r="M67" s="1">
        <v>22494</v>
      </c>
      <c r="N67" s="1">
        <v>24585</v>
      </c>
      <c r="O67" s="1">
        <v>276974</v>
      </c>
      <c r="P67" s="1">
        <v>107979</v>
      </c>
      <c r="Q67" s="1">
        <v>14325</v>
      </c>
      <c r="R67" s="1">
        <v>214</v>
      </c>
      <c r="S67" s="1">
        <v>1382</v>
      </c>
      <c r="T67" s="1">
        <v>2</v>
      </c>
      <c r="U67" s="1">
        <v>58153</v>
      </c>
      <c r="V67" s="1">
        <v>66.939252336448604</v>
      </c>
      <c r="W67" s="2">
        <v>2.9000000000000001E-2</v>
      </c>
    </row>
    <row r="68" spans="1:23" x14ac:dyDescent="0.2">
      <c r="A68" t="s">
        <v>96</v>
      </c>
      <c r="B68" t="s">
        <v>32</v>
      </c>
      <c r="C68" s="1">
        <v>12672</v>
      </c>
      <c r="D68" s="1">
        <v>12911</v>
      </c>
      <c r="E68" s="1">
        <v>14296</v>
      </c>
      <c r="F68" s="1">
        <v>12472</v>
      </c>
      <c r="G68" s="1">
        <v>10818</v>
      </c>
      <c r="H68" s="1">
        <v>8234</v>
      </c>
      <c r="I68" s="1">
        <v>8978</v>
      </c>
      <c r="J68" s="1">
        <v>10129</v>
      </c>
      <c r="K68" s="1">
        <v>7232</v>
      </c>
      <c r="L68" s="1">
        <v>9365</v>
      </c>
      <c r="M68" s="1">
        <v>10227</v>
      </c>
      <c r="N68" s="1">
        <v>13117</v>
      </c>
      <c r="O68" s="1">
        <v>130457</v>
      </c>
      <c r="P68" s="1">
        <v>49015</v>
      </c>
      <c r="Q68" s="1">
        <v>18839</v>
      </c>
      <c r="R68" s="1">
        <v>22</v>
      </c>
      <c r="S68" s="1">
        <v>1598</v>
      </c>
      <c r="T68" s="1">
        <v>4</v>
      </c>
      <c r="U68" s="1">
        <v>59558</v>
      </c>
      <c r="V68" s="1">
        <v>856.31818181818187</v>
      </c>
      <c r="W68" s="2">
        <v>6.7000000000000004E-2</v>
      </c>
    </row>
    <row r="69" spans="1:23" x14ac:dyDescent="0.2">
      <c r="A69" t="s">
        <v>97</v>
      </c>
      <c r="B69" t="s">
        <v>38</v>
      </c>
      <c r="C69" s="1">
        <v>71207</v>
      </c>
      <c r="D69" s="1">
        <v>71467</v>
      </c>
      <c r="E69" s="1">
        <v>71841</v>
      </c>
      <c r="F69" s="1">
        <v>66659</v>
      </c>
      <c r="G69" s="1">
        <v>70524</v>
      </c>
      <c r="H69" s="1">
        <v>56694</v>
      </c>
      <c r="I69" s="1">
        <v>40615</v>
      </c>
      <c r="J69" s="1">
        <v>52360</v>
      </c>
      <c r="K69" s="1">
        <v>44295</v>
      </c>
      <c r="L69" s="1">
        <v>53752</v>
      </c>
      <c r="M69" s="1">
        <v>73386</v>
      </c>
      <c r="N69" s="1">
        <v>61086</v>
      </c>
      <c r="O69" s="1">
        <v>733891</v>
      </c>
      <c r="P69" s="1">
        <v>260800</v>
      </c>
      <c r="Q69" s="1">
        <v>97269</v>
      </c>
      <c r="R69" s="1">
        <v>113</v>
      </c>
      <c r="S69" s="1">
        <v>3049</v>
      </c>
      <c r="T69" s="1">
        <v>2</v>
      </c>
      <c r="U69" s="1">
        <v>126805</v>
      </c>
      <c r="V69" s="1">
        <v>860.78761061946898</v>
      </c>
      <c r="W69" s="2">
        <v>3.1E-2</v>
      </c>
    </row>
    <row r="70" spans="1:23" x14ac:dyDescent="0.2">
      <c r="A70" t="s">
        <v>98</v>
      </c>
      <c r="B70" t="s">
        <v>40</v>
      </c>
      <c r="C70" s="1">
        <v>78343</v>
      </c>
      <c r="D70" s="1">
        <v>67557</v>
      </c>
      <c r="E70" s="1">
        <v>72537</v>
      </c>
      <c r="F70" s="1">
        <v>67475</v>
      </c>
      <c r="G70" s="1">
        <v>52309</v>
      </c>
      <c r="H70" s="1">
        <v>54900</v>
      </c>
      <c r="I70" s="1">
        <v>37932</v>
      </c>
      <c r="J70" s="1">
        <v>44002</v>
      </c>
      <c r="K70" s="1">
        <v>51546</v>
      </c>
      <c r="L70" s="1">
        <v>44385</v>
      </c>
      <c r="M70" s="1">
        <v>71124</v>
      </c>
      <c r="N70" s="1">
        <v>76158</v>
      </c>
      <c r="O70" s="1">
        <v>718273</v>
      </c>
      <c r="P70" s="1">
        <v>395995</v>
      </c>
      <c r="Q70" s="1">
        <v>40633</v>
      </c>
      <c r="R70" s="1">
        <v>147</v>
      </c>
      <c r="S70" s="1">
        <v>2797</v>
      </c>
      <c r="T70" s="1">
        <v>3</v>
      </c>
      <c r="U70" s="1">
        <v>129824</v>
      </c>
      <c r="V70" s="1">
        <v>276.41496598639458</v>
      </c>
      <c r="W70" s="2">
        <v>2.9000000000000001E-2</v>
      </c>
    </row>
    <row r="71" spans="1:23" x14ac:dyDescent="0.2">
      <c r="A71" t="s">
        <v>99</v>
      </c>
      <c r="B71" t="s">
        <v>40</v>
      </c>
      <c r="C71" s="1">
        <v>31153</v>
      </c>
      <c r="D71" s="1">
        <v>36598</v>
      </c>
      <c r="E71" s="1">
        <v>39184</v>
      </c>
      <c r="F71" s="1">
        <v>31994</v>
      </c>
      <c r="G71" s="1">
        <v>28462</v>
      </c>
      <c r="H71" s="1">
        <v>26669</v>
      </c>
      <c r="I71" s="1">
        <v>25711</v>
      </c>
      <c r="J71" s="1">
        <v>24181</v>
      </c>
      <c r="K71" s="1">
        <v>24079</v>
      </c>
      <c r="L71" s="1">
        <v>25582</v>
      </c>
      <c r="M71" s="1">
        <v>30891</v>
      </c>
      <c r="N71" s="1">
        <v>34257</v>
      </c>
      <c r="O71" s="1">
        <v>358767</v>
      </c>
      <c r="P71" s="1">
        <v>222149</v>
      </c>
      <c r="Q71" s="1">
        <v>56414</v>
      </c>
      <c r="R71" s="1">
        <v>183</v>
      </c>
      <c r="S71" s="1">
        <v>1472</v>
      </c>
      <c r="T71" s="1">
        <v>3</v>
      </c>
      <c r="U71" s="1">
        <v>36556</v>
      </c>
      <c r="V71" s="1">
        <v>308.27322404371586</v>
      </c>
      <c r="W71" s="2">
        <v>4.5999999999999999E-2</v>
      </c>
    </row>
    <row r="72" spans="1:23" x14ac:dyDescent="0.2">
      <c r="A72" t="s">
        <v>100</v>
      </c>
      <c r="B72" t="s">
        <v>38</v>
      </c>
      <c r="C72" s="1">
        <v>17697</v>
      </c>
      <c r="D72" s="1">
        <v>21332</v>
      </c>
      <c r="E72" s="1">
        <v>18512</v>
      </c>
      <c r="F72" s="1">
        <v>23375</v>
      </c>
      <c r="G72" s="1">
        <v>19368</v>
      </c>
      <c r="H72" s="1">
        <v>16241</v>
      </c>
      <c r="I72" s="1">
        <v>10131</v>
      </c>
      <c r="J72" s="1">
        <v>12210</v>
      </c>
      <c r="K72" s="1">
        <v>16161</v>
      </c>
      <c r="L72" s="1">
        <v>14598</v>
      </c>
      <c r="M72" s="1">
        <v>17328</v>
      </c>
      <c r="N72" s="1">
        <v>23552</v>
      </c>
      <c r="O72" s="1">
        <v>210509</v>
      </c>
      <c r="P72" s="1">
        <v>92613</v>
      </c>
      <c r="Q72" s="1">
        <v>34724</v>
      </c>
      <c r="R72" s="1">
        <v>31</v>
      </c>
      <c r="S72" s="1">
        <v>2239</v>
      </c>
      <c r="T72" s="1">
        <v>2</v>
      </c>
      <c r="U72" s="1">
        <v>89568</v>
      </c>
      <c r="V72" s="1">
        <v>1120.1290322580646</v>
      </c>
      <c r="W72" s="2">
        <v>2.8000000000000001E-2</v>
      </c>
    </row>
    <row r="73" spans="1:23" x14ac:dyDescent="0.2">
      <c r="A73" t="s">
        <v>101</v>
      </c>
      <c r="B73" t="s">
        <v>38</v>
      </c>
      <c r="C73" s="1">
        <v>69106</v>
      </c>
      <c r="D73" s="1">
        <v>65029</v>
      </c>
      <c r="E73" s="1">
        <v>59239</v>
      </c>
      <c r="F73" s="1">
        <v>64902</v>
      </c>
      <c r="G73" s="1">
        <v>60639</v>
      </c>
      <c r="H73" s="1">
        <v>43734</v>
      </c>
      <c r="I73" s="1">
        <v>36256</v>
      </c>
      <c r="J73" s="1">
        <v>36922</v>
      </c>
      <c r="K73" s="1">
        <v>44716</v>
      </c>
      <c r="L73" s="1">
        <v>54628</v>
      </c>
      <c r="M73" s="1">
        <v>58994</v>
      </c>
      <c r="N73" s="1">
        <v>57284</v>
      </c>
      <c r="O73" s="1">
        <v>651457</v>
      </c>
      <c r="P73" s="1">
        <v>252095</v>
      </c>
      <c r="Q73" s="1">
        <v>38505</v>
      </c>
      <c r="R73" s="1">
        <v>58</v>
      </c>
      <c r="S73" s="1">
        <v>3631</v>
      </c>
      <c r="T73" s="1">
        <v>4</v>
      </c>
      <c r="U73" s="1">
        <v>127194</v>
      </c>
      <c r="V73" s="1">
        <v>663.87931034482756</v>
      </c>
      <c r="W73" s="2">
        <v>7.0000000000000007E-2</v>
      </c>
    </row>
    <row r="74" spans="1:23" x14ac:dyDescent="0.2">
      <c r="A74" t="s">
        <v>102</v>
      </c>
      <c r="B74" t="s">
        <v>28</v>
      </c>
      <c r="C74" s="1">
        <v>37885</v>
      </c>
      <c r="D74" s="1">
        <v>41804</v>
      </c>
      <c r="E74" s="1">
        <v>51401</v>
      </c>
      <c r="F74" s="1">
        <v>48888</v>
      </c>
      <c r="G74" s="1">
        <v>37623</v>
      </c>
      <c r="H74" s="1">
        <v>27886</v>
      </c>
      <c r="I74" s="1">
        <v>24753</v>
      </c>
      <c r="J74" s="1">
        <v>24845</v>
      </c>
      <c r="K74" s="1">
        <v>29001</v>
      </c>
      <c r="L74" s="1">
        <v>31706</v>
      </c>
      <c r="M74" s="1">
        <v>41036</v>
      </c>
      <c r="N74" s="1">
        <v>39796</v>
      </c>
      <c r="O74" s="1">
        <v>436631</v>
      </c>
      <c r="P74" s="1">
        <v>204490</v>
      </c>
      <c r="Q74" s="1">
        <v>60041</v>
      </c>
      <c r="R74" s="1">
        <v>35</v>
      </c>
      <c r="S74" s="1">
        <v>3762</v>
      </c>
      <c r="T74" s="1">
        <v>4</v>
      </c>
      <c r="U74" s="1">
        <v>153855</v>
      </c>
      <c r="V74" s="1">
        <v>1715.4571428571428</v>
      </c>
      <c r="W74" s="2">
        <v>5.1999999999999998E-2</v>
      </c>
    </row>
    <row r="75" spans="1:23" x14ac:dyDescent="0.2">
      <c r="A75" t="s">
        <v>103</v>
      </c>
      <c r="B75" t="s">
        <v>38</v>
      </c>
      <c r="C75" s="1">
        <v>65146</v>
      </c>
      <c r="D75" s="1">
        <v>65874</v>
      </c>
      <c r="E75" s="1">
        <v>79507</v>
      </c>
      <c r="F75" s="1">
        <v>64924</v>
      </c>
      <c r="G75" s="1">
        <v>53780</v>
      </c>
      <c r="H75" s="1">
        <v>63168</v>
      </c>
      <c r="I75" s="1">
        <v>38316</v>
      </c>
      <c r="J75" s="1">
        <v>52534</v>
      </c>
      <c r="K75" s="1">
        <v>53165</v>
      </c>
      <c r="L75" s="1">
        <v>67314</v>
      </c>
      <c r="M75" s="1">
        <v>55198</v>
      </c>
      <c r="N75" s="1">
        <v>80658</v>
      </c>
      <c r="O75" s="1">
        <v>739591</v>
      </c>
      <c r="P75" s="1">
        <v>328363</v>
      </c>
      <c r="Q75" s="1">
        <v>115195</v>
      </c>
      <c r="R75" s="1">
        <v>49</v>
      </c>
      <c r="S75" s="1">
        <v>1908</v>
      </c>
      <c r="T75" s="1">
        <v>4</v>
      </c>
      <c r="U75" s="1">
        <v>67357</v>
      </c>
      <c r="V75" s="1">
        <v>2350.9183673469388</v>
      </c>
      <c r="W75" s="2">
        <v>6.3E-2</v>
      </c>
    </row>
    <row r="76" spans="1:23" x14ac:dyDescent="0.2">
      <c r="A76" t="s">
        <v>104</v>
      </c>
      <c r="B76" t="s">
        <v>38</v>
      </c>
      <c r="C76" s="1">
        <v>43133</v>
      </c>
      <c r="D76" s="1">
        <v>42696</v>
      </c>
      <c r="E76" s="1">
        <v>53481</v>
      </c>
      <c r="F76" s="1">
        <v>39844</v>
      </c>
      <c r="G76" s="1">
        <v>39967</v>
      </c>
      <c r="H76" s="1">
        <v>41365</v>
      </c>
      <c r="I76" s="1">
        <v>35434</v>
      </c>
      <c r="J76" s="1">
        <v>26232</v>
      </c>
      <c r="K76" s="1">
        <v>30966</v>
      </c>
      <c r="L76" s="1">
        <v>35976</v>
      </c>
      <c r="M76" s="1">
        <v>45141</v>
      </c>
      <c r="N76" s="1">
        <v>43792</v>
      </c>
      <c r="O76" s="1">
        <v>478034</v>
      </c>
      <c r="P76" s="1">
        <v>295363</v>
      </c>
      <c r="Q76" s="1">
        <v>27041</v>
      </c>
      <c r="R76" s="1">
        <v>48</v>
      </c>
      <c r="S76" s="1">
        <v>974</v>
      </c>
      <c r="T76" s="1">
        <v>3</v>
      </c>
      <c r="U76" s="1">
        <v>15295</v>
      </c>
      <c r="V76" s="1">
        <v>563.35416666666663</v>
      </c>
      <c r="W76" s="2">
        <v>7.2999999999999995E-2</v>
      </c>
    </row>
    <row r="77" spans="1:23" x14ac:dyDescent="0.2">
      <c r="A77" t="s">
        <v>105</v>
      </c>
      <c r="B77" t="s">
        <v>30</v>
      </c>
      <c r="C77" s="1">
        <v>75174</v>
      </c>
      <c r="D77" s="1">
        <v>76559</v>
      </c>
      <c r="E77" s="1">
        <v>73397</v>
      </c>
      <c r="F77" s="1">
        <v>79303</v>
      </c>
      <c r="G77" s="1">
        <v>71616</v>
      </c>
      <c r="H77" s="1">
        <v>50213</v>
      </c>
      <c r="I77" s="1">
        <v>40890</v>
      </c>
      <c r="J77" s="1">
        <v>52892</v>
      </c>
      <c r="K77" s="1">
        <v>51732</v>
      </c>
      <c r="L77" s="1">
        <v>65813</v>
      </c>
      <c r="M77" s="1">
        <v>66365</v>
      </c>
      <c r="N77" s="1">
        <v>59652</v>
      </c>
      <c r="O77" s="1">
        <v>763612</v>
      </c>
      <c r="P77" s="1">
        <v>462149</v>
      </c>
      <c r="Q77" s="1">
        <v>98663</v>
      </c>
      <c r="R77" s="1">
        <v>47</v>
      </c>
      <c r="S77" s="1">
        <v>3829</v>
      </c>
      <c r="T77" s="1">
        <v>1</v>
      </c>
      <c r="U77" s="1">
        <v>30849</v>
      </c>
      <c r="V77" s="1">
        <v>2099.2127659574467</v>
      </c>
      <c r="W77" s="2">
        <v>4.9000000000000002E-2</v>
      </c>
    </row>
    <row r="78" spans="1:23" x14ac:dyDescent="0.2">
      <c r="A78" t="s">
        <v>106</v>
      </c>
      <c r="B78" t="s">
        <v>30</v>
      </c>
      <c r="C78" s="1">
        <v>43785</v>
      </c>
      <c r="D78" s="1">
        <v>41150</v>
      </c>
      <c r="E78" s="1">
        <v>45026</v>
      </c>
      <c r="F78" s="1">
        <v>45116</v>
      </c>
      <c r="G78" s="1">
        <v>38118</v>
      </c>
      <c r="H78" s="1">
        <v>27209</v>
      </c>
      <c r="I78" s="1">
        <v>29011</v>
      </c>
      <c r="J78" s="1">
        <v>29322</v>
      </c>
      <c r="K78" s="1">
        <v>32113</v>
      </c>
      <c r="L78" s="1">
        <v>39740</v>
      </c>
      <c r="M78" s="1">
        <v>43373</v>
      </c>
      <c r="N78" s="1">
        <v>42838</v>
      </c>
      <c r="O78" s="1">
        <v>456806</v>
      </c>
      <c r="P78" s="1">
        <v>262496</v>
      </c>
      <c r="Q78" s="1">
        <v>54278</v>
      </c>
      <c r="R78" s="1">
        <v>184</v>
      </c>
      <c r="S78" s="1">
        <v>3511</v>
      </c>
      <c r="T78" s="1">
        <v>3</v>
      </c>
      <c r="U78" s="1">
        <v>59738</v>
      </c>
      <c r="V78" s="1">
        <v>294.98913043478262</v>
      </c>
      <c r="W78" s="2">
        <v>7.4999999999999997E-2</v>
      </c>
    </row>
    <row r="79" spans="1:23" x14ac:dyDescent="0.2">
      <c r="A79" t="s">
        <v>107</v>
      </c>
      <c r="B79" t="s">
        <v>26</v>
      </c>
      <c r="C79" s="1">
        <v>42386</v>
      </c>
      <c r="D79" s="1">
        <v>55402</v>
      </c>
      <c r="E79" s="1">
        <v>56465</v>
      </c>
      <c r="F79" s="1">
        <v>50294</v>
      </c>
      <c r="G79" s="1">
        <v>43595</v>
      </c>
      <c r="H79" s="1">
        <v>44948</v>
      </c>
      <c r="I79" s="1">
        <v>33604</v>
      </c>
      <c r="J79" s="1">
        <v>38464</v>
      </c>
      <c r="K79" s="1">
        <v>34782</v>
      </c>
      <c r="L79" s="1">
        <v>44816</v>
      </c>
      <c r="M79" s="1">
        <v>37330</v>
      </c>
      <c r="N79" s="1">
        <v>46288</v>
      </c>
      <c r="O79" s="1">
        <v>528381</v>
      </c>
      <c r="P79" s="1">
        <v>245886</v>
      </c>
      <c r="Q79" s="1">
        <v>87629</v>
      </c>
      <c r="R79" s="1">
        <v>20</v>
      </c>
      <c r="S79" s="1">
        <v>2321</v>
      </c>
      <c r="T79" s="1">
        <v>2</v>
      </c>
      <c r="U79" s="1">
        <v>29197</v>
      </c>
      <c r="V79" s="1">
        <v>4381.45</v>
      </c>
      <c r="W79" s="2">
        <v>8.5000000000000006E-2</v>
      </c>
    </row>
    <row r="80" spans="1:23" x14ac:dyDescent="0.2">
      <c r="A80" t="s">
        <v>108</v>
      </c>
      <c r="B80" t="s">
        <v>32</v>
      </c>
      <c r="C80" s="1">
        <v>54968</v>
      </c>
      <c r="D80" s="1">
        <v>52909</v>
      </c>
      <c r="E80" s="1">
        <v>55138</v>
      </c>
      <c r="F80" s="1">
        <v>59834</v>
      </c>
      <c r="G80" s="1">
        <v>47166</v>
      </c>
      <c r="H80" s="1">
        <v>33792</v>
      </c>
      <c r="I80" s="1">
        <v>33496</v>
      </c>
      <c r="J80" s="1">
        <v>28666</v>
      </c>
      <c r="K80" s="1">
        <v>32261</v>
      </c>
      <c r="L80" s="1">
        <v>33982</v>
      </c>
      <c r="M80" s="1">
        <v>48416</v>
      </c>
      <c r="N80" s="1">
        <v>58814</v>
      </c>
      <c r="O80" s="1">
        <v>539448</v>
      </c>
      <c r="P80" s="1">
        <v>258612</v>
      </c>
      <c r="Q80" s="1">
        <v>51435</v>
      </c>
      <c r="R80" s="1">
        <v>91</v>
      </c>
      <c r="S80" s="1">
        <v>3778</v>
      </c>
      <c r="T80" s="1">
        <v>4</v>
      </c>
      <c r="U80" s="1">
        <v>393364</v>
      </c>
      <c r="V80" s="1">
        <v>565.2197802197802</v>
      </c>
      <c r="W80" s="2">
        <v>0.02</v>
      </c>
    </row>
    <row r="81" spans="1:23" x14ac:dyDescent="0.2">
      <c r="A81" t="s">
        <v>109</v>
      </c>
      <c r="B81" t="s">
        <v>28</v>
      </c>
      <c r="C81" s="1">
        <v>36736</v>
      </c>
      <c r="D81" s="1">
        <v>36562</v>
      </c>
      <c r="E81" s="1">
        <v>33325</v>
      </c>
      <c r="F81" s="1">
        <v>31711</v>
      </c>
      <c r="G81" s="1">
        <v>25566</v>
      </c>
      <c r="H81" s="1">
        <v>25535</v>
      </c>
      <c r="I81" s="1">
        <v>16593</v>
      </c>
      <c r="J81" s="1">
        <v>25536</v>
      </c>
      <c r="K81" s="1">
        <v>23867</v>
      </c>
      <c r="L81" s="1">
        <v>30184</v>
      </c>
      <c r="M81" s="1">
        <v>31438</v>
      </c>
      <c r="N81" s="1">
        <v>36572</v>
      </c>
      <c r="O81" s="1">
        <v>353631</v>
      </c>
      <c r="P81" s="1">
        <v>158699</v>
      </c>
      <c r="Q81" s="1">
        <v>19956</v>
      </c>
      <c r="R81" s="1">
        <v>114</v>
      </c>
      <c r="S81" s="1">
        <v>1959</v>
      </c>
      <c r="T81" s="1">
        <v>2</v>
      </c>
      <c r="U81" s="1">
        <v>25710</v>
      </c>
      <c r="V81" s="1">
        <v>175.05263157894737</v>
      </c>
      <c r="W81" s="2">
        <v>8.4000000000000005E-2</v>
      </c>
    </row>
    <row r="82" spans="1:23" x14ac:dyDescent="0.2">
      <c r="A82" t="s">
        <v>110</v>
      </c>
      <c r="B82" t="s">
        <v>30</v>
      </c>
      <c r="C82" s="1">
        <v>62311</v>
      </c>
      <c r="D82" s="1">
        <v>67244</v>
      </c>
      <c r="E82" s="1">
        <v>70981</v>
      </c>
      <c r="F82" s="1">
        <v>74899</v>
      </c>
      <c r="G82" s="1">
        <v>64597</v>
      </c>
      <c r="H82" s="1">
        <v>52870</v>
      </c>
      <c r="I82" s="1">
        <v>54837</v>
      </c>
      <c r="J82" s="1">
        <v>52691</v>
      </c>
      <c r="K82" s="1">
        <v>58484</v>
      </c>
      <c r="L82" s="1">
        <v>64033</v>
      </c>
      <c r="M82" s="1">
        <v>53828</v>
      </c>
      <c r="N82" s="1">
        <v>70589</v>
      </c>
      <c r="O82" s="1">
        <v>747370</v>
      </c>
      <c r="P82" s="1">
        <v>356967</v>
      </c>
      <c r="Q82" s="1">
        <v>83402</v>
      </c>
      <c r="R82" s="1">
        <v>39</v>
      </c>
      <c r="S82" s="1">
        <v>3206</v>
      </c>
      <c r="T82" s="1">
        <v>4</v>
      </c>
      <c r="U82" s="1">
        <v>248106</v>
      </c>
      <c r="V82" s="1">
        <v>2138.5128205128203</v>
      </c>
      <c r="W82" s="2">
        <v>2.7E-2</v>
      </c>
    </row>
    <row r="83" spans="1:23" x14ac:dyDescent="0.2">
      <c r="A83" t="s">
        <v>111</v>
      </c>
      <c r="B83" t="s">
        <v>38</v>
      </c>
      <c r="C83" s="1">
        <v>24457</v>
      </c>
      <c r="D83" s="1">
        <v>28442</v>
      </c>
      <c r="E83" s="1">
        <v>24468</v>
      </c>
      <c r="F83" s="1">
        <v>30355</v>
      </c>
      <c r="G83" s="1">
        <v>21458</v>
      </c>
      <c r="H83" s="1">
        <v>16329</v>
      </c>
      <c r="I83" s="1">
        <v>20386</v>
      </c>
      <c r="J83" s="1">
        <v>14702</v>
      </c>
      <c r="K83" s="1">
        <v>16337</v>
      </c>
      <c r="L83" s="1">
        <v>20347</v>
      </c>
      <c r="M83" s="1">
        <v>28406</v>
      </c>
      <c r="N83" s="1">
        <v>27669</v>
      </c>
      <c r="O83" s="1">
        <v>273363</v>
      </c>
      <c r="P83" s="1">
        <v>125612</v>
      </c>
      <c r="Q83" s="1">
        <v>26271</v>
      </c>
      <c r="R83" s="1">
        <v>152</v>
      </c>
      <c r="S83" s="1">
        <v>3217</v>
      </c>
      <c r="T83" s="1">
        <v>4</v>
      </c>
      <c r="U83" s="1">
        <v>110398</v>
      </c>
      <c r="V83" s="1">
        <v>172.83552631578948</v>
      </c>
      <c r="W83" s="2">
        <v>6.3E-2</v>
      </c>
    </row>
    <row r="84" spans="1:23" x14ac:dyDescent="0.2">
      <c r="A84" t="s">
        <v>112</v>
      </c>
      <c r="B84" t="s">
        <v>30</v>
      </c>
      <c r="C84" s="1">
        <v>15658</v>
      </c>
      <c r="D84" s="1">
        <v>20551</v>
      </c>
      <c r="E84" s="1">
        <v>17082</v>
      </c>
      <c r="F84" s="1">
        <v>19837</v>
      </c>
      <c r="G84" s="1">
        <v>14717</v>
      </c>
      <c r="H84" s="1">
        <v>16660</v>
      </c>
      <c r="I84" s="1">
        <v>13331</v>
      </c>
      <c r="J84" s="1">
        <v>9069</v>
      </c>
      <c r="K84" s="1">
        <v>15228</v>
      </c>
      <c r="L84" s="1">
        <v>15861</v>
      </c>
      <c r="M84" s="1">
        <v>16536</v>
      </c>
      <c r="N84" s="1">
        <v>21364</v>
      </c>
      <c r="O84" s="1">
        <v>195899</v>
      </c>
      <c r="P84" s="1">
        <v>111558</v>
      </c>
      <c r="Q84" s="1">
        <v>21036</v>
      </c>
      <c r="R84" s="1">
        <v>30</v>
      </c>
      <c r="S84" s="1">
        <v>3500</v>
      </c>
      <c r="T84" s="1">
        <v>1</v>
      </c>
      <c r="U84" s="1">
        <v>29546</v>
      </c>
      <c r="V84" s="1">
        <v>701.2</v>
      </c>
      <c r="W84" s="2">
        <v>5.0999999999999997E-2</v>
      </c>
    </row>
    <row r="85" spans="1:23" x14ac:dyDescent="0.2">
      <c r="A85" t="s">
        <v>113</v>
      </c>
      <c r="B85" t="s">
        <v>24</v>
      </c>
      <c r="C85" s="1">
        <v>61438</v>
      </c>
      <c r="D85" s="1">
        <v>57753</v>
      </c>
      <c r="E85" s="1">
        <v>69525</v>
      </c>
      <c r="F85" s="1">
        <v>52454</v>
      </c>
      <c r="G85" s="1">
        <v>48295</v>
      </c>
      <c r="H85" s="1">
        <v>46650</v>
      </c>
      <c r="I85" s="1">
        <v>35859</v>
      </c>
      <c r="J85" s="1">
        <v>30995</v>
      </c>
      <c r="K85" s="1">
        <v>41030</v>
      </c>
      <c r="L85" s="1">
        <v>43071</v>
      </c>
      <c r="M85" s="1">
        <v>48609</v>
      </c>
      <c r="N85" s="1">
        <v>64634</v>
      </c>
      <c r="O85" s="1">
        <v>600319</v>
      </c>
      <c r="P85" s="1">
        <v>378986</v>
      </c>
      <c r="Q85" s="1">
        <v>38647</v>
      </c>
      <c r="R85" s="1">
        <v>139</v>
      </c>
      <c r="S85" s="1">
        <v>716</v>
      </c>
      <c r="T85" s="1">
        <v>2</v>
      </c>
      <c r="U85" s="1">
        <v>17031</v>
      </c>
      <c r="V85" s="1">
        <v>278.03597122302159</v>
      </c>
      <c r="W85" s="2">
        <v>3.1E-2</v>
      </c>
    </row>
    <row r="86" spans="1:23" x14ac:dyDescent="0.2">
      <c r="A86" t="s">
        <v>114</v>
      </c>
      <c r="B86" t="s">
        <v>32</v>
      </c>
      <c r="C86" s="1">
        <v>88686</v>
      </c>
      <c r="D86" s="1">
        <v>72774</v>
      </c>
      <c r="E86" s="1">
        <v>82196</v>
      </c>
      <c r="F86" s="1">
        <v>86775</v>
      </c>
      <c r="G86" s="1">
        <v>82221</v>
      </c>
      <c r="H86" s="1">
        <v>51795</v>
      </c>
      <c r="I86" s="1">
        <v>64363</v>
      </c>
      <c r="J86" s="1">
        <v>44829</v>
      </c>
      <c r="K86" s="1">
        <v>61037</v>
      </c>
      <c r="L86" s="1">
        <v>55007</v>
      </c>
      <c r="M86" s="1">
        <v>85430</v>
      </c>
      <c r="N86" s="1">
        <v>71947</v>
      </c>
      <c r="O86" s="1">
        <v>847063</v>
      </c>
      <c r="P86" s="1">
        <v>389433</v>
      </c>
      <c r="Q86" s="1">
        <v>115982</v>
      </c>
      <c r="R86" s="1">
        <v>93</v>
      </c>
      <c r="S86" s="1">
        <v>1385</v>
      </c>
      <c r="T86" s="1">
        <v>2</v>
      </c>
      <c r="U86" s="1">
        <v>23023</v>
      </c>
      <c r="V86" s="1">
        <v>1247.1182795698924</v>
      </c>
      <c r="W86" s="2">
        <v>6.5000000000000002E-2</v>
      </c>
    </row>
    <row r="87" spans="1:23" x14ac:dyDescent="0.2">
      <c r="A87" t="s">
        <v>115</v>
      </c>
      <c r="B87" t="s">
        <v>26</v>
      </c>
      <c r="C87" s="1">
        <v>13630</v>
      </c>
      <c r="D87" s="1">
        <v>17436</v>
      </c>
      <c r="E87" s="1">
        <v>16648</v>
      </c>
      <c r="F87" s="1">
        <v>16993</v>
      </c>
      <c r="G87" s="1">
        <v>11863</v>
      </c>
      <c r="H87" s="1">
        <v>11487</v>
      </c>
      <c r="I87" s="1">
        <v>11035</v>
      </c>
      <c r="J87" s="1">
        <v>6965</v>
      </c>
      <c r="K87" s="1">
        <v>7687</v>
      </c>
      <c r="L87" s="1">
        <v>9400</v>
      </c>
      <c r="M87" s="1">
        <v>13443</v>
      </c>
      <c r="N87" s="1">
        <v>14919</v>
      </c>
      <c r="O87" s="1">
        <v>151512</v>
      </c>
      <c r="P87" s="1">
        <v>87513</v>
      </c>
      <c r="Q87" s="1">
        <v>18959</v>
      </c>
      <c r="R87" s="1">
        <v>154</v>
      </c>
      <c r="S87" s="1">
        <v>2476</v>
      </c>
      <c r="T87" s="1">
        <v>1</v>
      </c>
      <c r="U87" s="1">
        <v>30760</v>
      </c>
      <c r="V87" s="1">
        <v>123.1103896103896</v>
      </c>
      <c r="W87" s="2">
        <v>3.4000000000000002E-2</v>
      </c>
    </row>
    <row r="88" spans="1:23" x14ac:dyDescent="0.2">
      <c r="A88" t="s">
        <v>116</v>
      </c>
      <c r="B88" t="s">
        <v>26</v>
      </c>
      <c r="C88" s="1">
        <v>12368</v>
      </c>
      <c r="D88" s="1">
        <v>12557</v>
      </c>
      <c r="E88" s="1">
        <v>13687</v>
      </c>
      <c r="F88" s="1">
        <v>13614</v>
      </c>
      <c r="G88" s="1">
        <v>12271</v>
      </c>
      <c r="H88" s="1">
        <v>9871</v>
      </c>
      <c r="I88" s="1">
        <v>7502</v>
      </c>
      <c r="J88" s="1">
        <v>9102</v>
      </c>
      <c r="K88" s="1">
        <v>9951</v>
      </c>
      <c r="L88" s="1">
        <v>11251</v>
      </c>
      <c r="M88" s="1">
        <v>13538</v>
      </c>
      <c r="N88" s="1">
        <v>14655</v>
      </c>
      <c r="O88" s="1">
        <v>140372</v>
      </c>
      <c r="P88" s="1">
        <v>85344</v>
      </c>
      <c r="Q88" s="1">
        <v>9654</v>
      </c>
      <c r="R88" s="1">
        <v>185</v>
      </c>
      <c r="S88" s="1">
        <v>864</v>
      </c>
      <c r="T88" s="1">
        <v>3</v>
      </c>
      <c r="U88" s="1">
        <v>11679</v>
      </c>
      <c r="V88" s="1">
        <v>52.183783783783781</v>
      </c>
      <c r="W88" s="2">
        <v>8.6999999999999994E-2</v>
      </c>
    </row>
    <row r="89" spans="1:23" x14ac:dyDescent="0.2">
      <c r="A89" t="s">
        <v>117</v>
      </c>
      <c r="B89" t="s">
        <v>24</v>
      </c>
      <c r="C89" s="1">
        <v>65600</v>
      </c>
      <c r="D89" s="1">
        <v>61196</v>
      </c>
      <c r="E89" s="1">
        <v>78039</v>
      </c>
      <c r="F89" s="1">
        <v>62782</v>
      </c>
      <c r="G89" s="1">
        <v>72188</v>
      </c>
      <c r="H89" s="1">
        <v>45277</v>
      </c>
      <c r="I89" s="1">
        <v>57194</v>
      </c>
      <c r="J89" s="1">
        <v>40048</v>
      </c>
      <c r="K89" s="1">
        <v>46113</v>
      </c>
      <c r="L89" s="1">
        <v>44369</v>
      </c>
      <c r="M89" s="1">
        <v>74228</v>
      </c>
      <c r="N89" s="1">
        <v>79847</v>
      </c>
      <c r="O89" s="1">
        <v>726887</v>
      </c>
      <c r="P89" s="1">
        <v>320921</v>
      </c>
      <c r="Q89" s="1">
        <v>121127</v>
      </c>
      <c r="R89" s="1">
        <v>55</v>
      </c>
      <c r="S89" s="1">
        <v>3667</v>
      </c>
      <c r="T89" s="1">
        <v>1</v>
      </c>
      <c r="U89" s="1">
        <v>48762</v>
      </c>
      <c r="V89" s="1">
        <v>2202.3090909090911</v>
      </c>
      <c r="W89" s="2">
        <v>4.2000000000000003E-2</v>
      </c>
    </row>
    <row r="90" spans="1:23" x14ac:dyDescent="0.2">
      <c r="A90" t="s">
        <v>118</v>
      </c>
      <c r="B90" t="s">
        <v>28</v>
      </c>
      <c r="C90" s="1">
        <v>46754</v>
      </c>
      <c r="D90" s="1">
        <v>38367</v>
      </c>
      <c r="E90" s="1">
        <v>51180</v>
      </c>
      <c r="F90" s="1">
        <v>49409</v>
      </c>
      <c r="G90" s="1">
        <v>31080</v>
      </c>
      <c r="H90" s="1">
        <v>32441</v>
      </c>
      <c r="I90" s="1">
        <v>33354</v>
      </c>
      <c r="J90" s="1">
        <v>29622</v>
      </c>
      <c r="K90" s="1">
        <v>35790</v>
      </c>
      <c r="L90" s="1">
        <v>30671</v>
      </c>
      <c r="M90" s="1">
        <v>37175</v>
      </c>
      <c r="N90" s="1">
        <v>47551</v>
      </c>
      <c r="O90" s="1">
        <v>463400</v>
      </c>
      <c r="P90" s="1">
        <v>268032</v>
      </c>
      <c r="Q90" s="1">
        <v>58342</v>
      </c>
      <c r="R90" s="1">
        <v>91</v>
      </c>
      <c r="S90" s="1">
        <v>960</v>
      </c>
      <c r="T90" s="1">
        <v>2</v>
      </c>
      <c r="U90" s="1">
        <v>9871</v>
      </c>
      <c r="V90" s="1">
        <v>641.12087912087907</v>
      </c>
      <c r="W90" s="2">
        <v>8.2000000000000003E-2</v>
      </c>
    </row>
    <row r="91" spans="1:23" x14ac:dyDescent="0.2">
      <c r="A91" t="s">
        <v>119</v>
      </c>
      <c r="B91" t="s">
        <v>24</v>
      </c>
      <c r="C91" s="1">
        <v>34133</v>
      </c>
      <c r="D91" s="1">
        <v>40802</v>
      </c>
      <c r="E91" s="1">
        <v>50689</v>
      </c>
      <c r="F91" s="1">
        <v>43680</v>
      </c>
      <c r="G91" s="1">
        <v>38590</v>
      </c>
      <c r="H91" s="1">
        <v>25014</v>
      </c>
      <c r="I91" s="1">
        <v>28665</v>
      </c>
      <c r="J91" s="1">
        <v>29881</v>
      </c>
      <c r="K91" s="1">
        <v>24186</v>
      </c>
      <c r="L91" s="1">
        <v>31676</v>
      </c>
      <c r="M91" s="1">
        <v>40301</v>
      </c>
      <c r="N91" s="1">
        <v>37073</v>
      </c>
      <c r="O91" s="1">
        <v>424694</v>
      </c>
      <c r="P91" s="1">
        <v>189333</v>
      </c>
      <c r="Q91" s="1">
        <v>43117</v>
      </c>
      <c r="R91" s="1">
        <v>180</v>
      </c>
      <c r="S91" s="1">
        <v>2356</v>
      </c>
      <c r="T91" s="1">
        <v>1</v>
      </c>
      <c r="U91" s="1">
        <v>22906</v>
      </c>
      <c r="V91" s="1">
        <v>239.53888888888889</v>
      </c>
      <c r="W91" s="2">
        <v>5.7000000000000002E-2</v>
      </c>
    </row>
    <row r="92" spans="1:23" x14ac:dyDescent="0.2">
      <c r="A92" t="s">
        <v>120</v>
      </c>
      <c r="B92" t="s">
        <v>32</v>
      </c>
      <c r="C92" s="1">
        <v>47738</v>
      </c>
      <c r="D92" s="1">
        <v>51916</v>
      </c>
      <c r="E92" s="1">
        <v>52856</v>
      </c>
      <c r="F92" s="1">
        <v>41585</v>
      </c>
      <c r="G92" s="1">
        <v>35495</v>
      </c>
      <c r="H92" s="1">
        <v>34065</v>
      </c>
      <c r="I92" s="1">
        <v>36327</v>
      </c>
      <c r="J92" s="1">
        <v>35102</v>
      </c>
      <c r="K92" s="1">
        <v>29323</v>
      </c>
      <c r="L92" s="1">
        <v>40736</v>
      </c>
      <c r="M92" s="1">
        <v>43111</v>
      </c>
      <c r="N92" s="1">
        <v>43217</v>
      </c>
      <c r="O92" s="1">
        <v>491476</v>
      </c>
      <c r="P92" s="1">
        <v>191620</v>
      </c>
      <c r="Q92" s="1">
        <v>51908</v>
      </c>
      <c r="R92" s="1">
        <v>125</v>
      </c>
      <c r="S92" s="1">
        <v>971</v>
      </c>
      <c r="T92" s="1">
        <v>1</v>
      </c>
      <c r="U92" s="1">
        <v>9114</v>
      </c>
      <c r="V92" s="1">
        <v>415.26400000000001</v>
      </c>
      <c r="W92" s="2">
        <v>6.5000000000000002E-2</v>
      </c>
    </row>
    <row r="93" spans="1:23" x14ac:dyDescent="0.2">
      <c r="A93" t="s">
        <v>121</v>
      </c>
      <c r="B93" t="s">
        <v>40</v>
      </c>
      <c r="C93" s="1">
        <v>53998</v>
      </c>
      <c r="D93" s="1">
        <v>57451</v>
      </c>
      <c r="E93" s="1">
        <v>66568</v>
      </c>
      <c r="F93" s="1">
        <v>56201</v>
      </c>
      <c r="G93" s="1">
        <v>54754</v>
      </c>
      <c r="H93" s="1">
        <v>50297</v>
      </c>
      <c r="I93" s="1">
        <v>37404</v>
      </c>
      <c r="J93" s="1">
        <v>40407</v>
      </c>
      <c r="K93" s="1">
        <v>33051</v>
      </c>
      <c r="L93" s="1">
        <v>47935</v>
      </c>
      <c r="M93" s="1">
        <v>46911</v>
      </c>
      <c r="N93" s="1">
        <v>56290</v>
      </c>
      <c r="O93" s="1">
        <v>601271</v>
      </c>
      <c r="P93" s="1">
        <v>266376</v>
      </c>
      <c r="Q93" s="1">
        <v>100296</v>
      </c>
      <c r="R93" s="1">
        <v>44</v>
      </c>
      <c r="S93" s="1">
        <v>1257</v>
      </c>
      <c r="T93" s="1">
        <v>3</v>
      </c>
      <c r="U93" s="1">
        <v>27277</v>
      </c>
      <c r="V93" s="1">
        <v>2279.4545454545455</v>
      </c>
      <c r="W93" s="2">
        <v>7.6999999999999999E-2</v>
      </c>
    </row>
    <row r="94" spans="1:23" x14ac:dyDescent="0.2">
      <c r="A94" t="s">
        <v>122</v>
      </c>
      <c r="B94" t="s">
        <v>24</v>
      </c>
      <c r="C94" s="1">
        <v>17315</v>
      </c>
      <c r="D94" s="1">
        <v>18532</v>
      </c>
      <c r="E94" s="1">
        <v>17495</v>
      </c>
      <c r="F94" s="1">
        <v>18360</v>
      </c>
      <c r="G94" s="1">
        <v>16586</v>
      </c>
      <c r="H94" s="1">
        <v>10196</v>
      </c>
      <c r="I94" s="1">
        <v>14098</v>
      </c>
      <c r="J94" s="1">
        <v>13552</v>
      </c>
      <c r="K94" s="1">
        <v>12992</v>
      </c>
      <c r="L94" s="1">
        <v>14847</v>
      </c>
      <c r="M94" s="1">
        <v>15438</v>
      </c>
      <c r="N94" s="1">
        <v>19496</v>
      </c>
      <c r="O94" s="1">
        <v>188911</v>
      </c>
      <c r="P94" s="1">
        <v>69146</v>
      </c>
      <c r="Q94" s="1">
        <v>30154</v>
      </c>
      <c r="R94" s="1">
        <v>28</v>
      </c>
      <c r="S94" s="1">
        <v>2217</v>
      </c>
      <c r="T94" s="1">
        <v>4</v>
      </c>
      <c r="U94" s="1">
        <v>90679</v>
      </c>
      <c r="V94" s="1">
        <v>1076.9285714285713</v>
      </c>
      <c r="W94" s="2">
        <v>6.2E-2</v>
      </c>
    </row>
    <row r="95" spans="1:23" x14ac:dyDescent="0.2">
      <c r="A95" t="s">
        <v>123</v>
      </c>
      <c r="B95" t="s">
        <v>28</v>
      </c>
      <c r="C95" s="1">
        <v>10841</v>
      </c>
      <c r="D95" s="1">
        <v>12020</v>
      </c>
      <c r="E95" s="1">
        <v>11781</v>
      </c>
      <c r="F95" s="1">
        <v>10105</v>
      </c>
      <c r="G95" s="1">
        <v>10807</v>
      </c>
      <c r="H95" s="1">
        <v>7969</v>
      </c>
      <c r="I95" s="1">
        <v>8133</v>
      </c>
      <c r="J95" s="1">
        <v>5983</v>
      </c>
      <c r="K95" s="1">
        <v>7714</v>
      </c>
      <c r="L95" s="1">
        <v>8641</v>
      </c>
      <c r="M95" s="1">
        <v>10906</v>
      </c>
      <c r="N95" s="1">
        <v>12635</v>
      </c>
      <c r="O95" s="1">
        <v>117541</v>
      </c>
      <c r="P95" s="1">
        <v>42939</v>
      </c>
      <c r="Q95" s="1">
        <v>16910</v>
      </c>
      <c r="R95" s="1">
        <v>40</v>
      </c>
      <c r="S95" s="1">
        <v>2486</v>
      </c>
      <c r="T95" s="1">
        <v>1</v>
      </c>
      <c r="U95" s="1">
        <v>25045</v>
      </c>
      <c r="V95" s="1">
        <v>422.75</v>
      </c>
      <c r="W95" s="2">
        <v>6.3E-2</v>
      </c>
    </row>
    <row r="96" spans="1:23" x14ac:dyDescent="0.2">
      <c r="A96" t="s">
        <v>124</v>
      </c>
      <c r="B96" t="s">
        <v>40</v>
      </c>
      <c r="C96" s="1">
        <v>16751</v>
      </c>
      <c r="D96" s="1">
        <v>16081</v>
      </c>
      <c r="E96" s="1">
        <v>18174</v>
      </c>
      <c r="F96" s="1">
        <v>16815</v>
      </c>
      <c r="G96" s="1">
        <v>11280</v>
      </c>
      <c r="H96" s="1">
        <v>11050</v>
      </c>
      <c r="I96" s="1">
        <v>10390</v>
      </c>
      <c r="J96" s="1">
        <v>10940</v>
      </c>
      <c r="K96" s="1">
        <v>10648</v>
      </c>
      <c r="L96" s="1">
        <v>12132</v>
      </c>
      <c r="M96" s="1">
        <v>12027</v>
      </c>
      <c r="N96" s="1">
        <v>16433</v>
      </c>
      <c r="O96" s="1">
        <v>162727</v>
      </c>
      <c r="P96" s="1">
        <v>62664</v>
      </c>
      <c r="Q96" s="1">
        <v>21804</v>
      </c>
      <c r="R96" s="1">
        <v>70</v>
      </c>
      <c r="S96" s="1">
        <v>2794</v>
      </c>
      <c r="T96" s="1">
        <v>3</v>
      </c>
      <c r="U96" s="1">
        <v>64427</v>
      </c>
      <c r="V96" s="1">
        <v>311.48571428571427</v>
      </c>
      <c r="W96" s="2">
        <v>0.08</v>
      </c>
    </row>
    <row r="97" spans="1:23" x14ac:dyDescent="0.2">
      <c r="A97" t="s">
        <v>125</v>
      </c>
      <c r="B97" t="s">
        <v>32</v>
      </c>
      <c r="C97" s="1">
        <v>46032</v>
      </c>
      <c r="D97" s="1">
        <v>48431</v>
      </c>
      <c r="E97" s="1">
        <v>50413</v>
      </c>
      <c r="F97" s="1">
        <v>44917</v>
      </c>
      <c r="G97" s="1">
        <v>31278</v>
      </c>
      <c r="H97" s="1">
        <v>26366</v>
      </c>
      <c r="I97" s="1">
        <v>25858</v>
      </c>
      <c r="J97" s="1">
        <v>30131</v>
      </c>
      <c r="K97" s="1">
        <v>29567</v>
      </c>
      <c r="L97" s="1">
        <v>35360</v>
      </c>
      <c r="M97" s="1">
        <v>36341</v>
      </c>
      <c r="N97" s="1">
        <v>38277</v>
      </c>
      <c r="O97" s="1">
        <v>442977</v>
      </c>
      <c r="P97" s="1">
        <v>165913</v>
      </c>
      <c r="Q97" s="1">
        <v>61342</v>
      </c>
      <c r="R97" s="1">
        <v>138</v>
      </c>
      <c r="S97" s="1">
        <v>2304</v>
      </c>
      <c r="T97" s="1">
        <v>3</v>
      </c>
      <c r="U97" s="1">
        <v>102932</v>
      </c>
      <c r="V97" s="1">
        <v>444.50724637681162</v>
      </c>
      <c r="W97" s="2">
        <v>4.2000000000000003E-2</v>
      </c>
    </row>
    <row r="98" spans="1:23" x14ac:dyDescent="0.2">
      <c r="A98" t="s">
        <v>126</v>
      </c>
      <c r="B98" t="s">
        <v>30</v>
      </c>
      <c r="C98" s="1">
        <v>63850</v>
      </c>
      <c r="D98" s="1">
        <v>84665</v>
      </c>
      <c r="E98" s="1">
        <v>89925</v>
      </c>
      <c r="F98" s="1">
        <v>85811</v>
      </c>
      <c r="G98" s="1">
        <v>62344</v>
      </c>
      <c r="H98" s="1">
        <v>62153</v>
      </c>
      <c r="I98" s="1">
        <v>65086</v>
      </c>
      <c r="J98" s="1">
        <v>48336</v>
      </c>
      <c r="K98" s="1">
        <v>53666</v>
      </c>
      <c r="L98" s="1">
        <v>61542</v>
      </c>
      <c r="M98" s="1">
        <v>78457</v>
      </c>
      <c r="N98" s="1">
        <v>73883</v>
      </c>
      <c r="O98" s="1">
        <v>829724</v>
      </c>
      <c r="P98" s="1">
        <v>522751</v>
      </c>
      <c r="Q98" s="1">
        <v>90592</v>
      </c>
      <c r="R98" s="1">
        <v>148</v>
      </c>
      <c r="S98" s="1">
        <v>2820</v>
      </c>
      <c r="T98" s="1">
        <v>3</v>
      </c>
      <c r="U98" s="1">
        <v>43471</v>
      </c>
      <c r="V98" s="1">
        <v>612.10810810810813</v>
      </c>
      <c r="W98" s="2">
        <v>7.1999999999999995E-2</v>
      </c>
    </row>
    <row r="99" spans="1:23" x14ac:dyDescent="0.2">
      <c r="A99" t="s">
        <v>127</v>
      </c>
      <c r="B99" t="s">
        <v>32</v>
      </c>
      <c r="C99" s="1">
        <v>65415</v>
      </c>
      <c r="D99" s="1">
        <v>65543</v>
      </c>
      <c r="E99" s="1">
        <v>52699</v>
      </c>
      <c r="F99" s="1">
        <v>49700</v>
      </c>
      <c r="G99" s="1">
        <v>45481</v>
      </c>
      <c r="H99" s="1">
        <v>46637</v>
      </c>
      <c r="I99" s="1">
        <v>42879</v>
      </c>
      <c r="J99" s="1">
        <v>34793</v>
      </c>
      <c r="K99" s="1">
        <v>47473</v>
      </c>
      <c r="L99" s="1">
        <v>41866</v>
      </c>
      <c r="M99" s="1">
        <v>62600</v>
      </c>
      <c r="N99" s="1">
        <v>51975</v>
      </c>
      <c r="O99" s="1">
        <v>607066</v>
      </c>
      <c r="P99" s="1">
        <v>250273</v>
      </c>
      <c r="Q99" s="1">
        <v>97593</v>
      </c>
      <c r="R99" s="1">
        <v>189</v>
      </c>
      <c r="S99" s="1">
        <v>3373</v>
      </c>
      <c r="T99" s="1">
        <v>4</v>
      </c>
      <c r="U99" s="1">
        <v>107158</v>
      </c>
      <c r="V99" s="1">
        <v>516.3650793650794</v>
      </c>
      <c r="W99" s="2">
        <v>7.3999999999999996E-2</v>
      </c>
    </row>
    <row r="100" spans="1:23" x14ac:dyDescent="0.2">
      <c r="A100" t="s">
        <v>128</v>
      </c>
      <c r="B100" t="s">
        <v>26</v>
      </c>
      <c r="C100" s="1">
        <v>30299</v>
      </c>
      <c r="D100" s="1">
        <v>35022</v>
      </c>
      <c r="E100" s="1">
        <v>32779</v>
      </c>
      <c r="F100" s="1">
        <v>41098</v>
      </c>
      <c r="G100" s="1">
        <v>36126</v>
      </c>
      <c r="H100" s="1">
        <v>33693</v>
      </c>
      <c r="I100" s="1">
        <v>20473</v>
      </c>
      <c r="J100" s="1">
        <v>20763</v>
      </c>
      <c r="K100" s="1">
        <v>30523</v>
      </c>
      <c r="L100" s="1">
        <v>30710</v>
      </c>
      <c r="M100" s="1">
        <v>31762</v>
      </c>
      <c r="N100" s="1">
        <v>39224</v>
      </c>
      <c r="O100" s="1">
        <v>382477</v>
      </c>
      <c r="P100" s="1">
        <v>205966</v>
      </c>
      <c r="Q100" s="1">
        <v>38251</v>
      </c>
      <c r="R100" s="1">
        <v>89</v>
      </c>
      <c r="S100" s="1">
        <v>2684</v>
      </c>
      <c r="T100" s="1">
        <v>4</v>
      </c>
      <c r="U100" s="1">
        <v>137628</v>
      </c>
      <c r="V100" s="1">
        <v>429.7865168539326</v>
      </c>
      <c r="W100" s="2">
        <v>3.5999999999999997E-2</v>
      </c>
    </row>
    <row r="101" spans="1:23" x14ac:dyDescent="0.2">
      <c r="A101" t="s">
        <v>129</v>
      </c>
      <c r="B101" t="s">
        <v>26</v>
      </c>
      <c r="C101" s="1">
        <v>52603</v>
      </c>
      <c r="D101" s="1">
        <v>74221</v>
      </c>
      <c r="E101" s="1">
        <v>74119</v>
      </c>
      <c r="F101" s="1">
        <v>72676</v>
      </c>
      <c r="G101" s="1">
        <v>60154</v>
      </c>
      <c r="H101" s="1">
        <v>49397</v>
      </c>
      <c r="I101" s="1">
        <v>38403</v>
      </c>
      <c r="J101" s="1">
        <v>50323</v>
      </c>
      <c r="K101" s="1">
        <v>44421</v>
      </c>
      <c r="L101" s="1">
        <v>55850</v>
      </c>
      <c r="M101" s="1">
        <v>65353</v>
      </c>
      <c r="N101" s="1">
        <v>60565</v>
      </c>
      <c r="O101" s="1">
        <v>698090</v>
      </c>
      <c r="P101" s="1">
        <v>453570</v>
      </c>
      <c r="Q101" s="1">
        <v>45544</v>
      </c>
      <c r="R101" s="1">
        <v>20</v>
      </c>
      <c r="S101" s="1">
        <v>2501</v>
      </c>
      <c r="T101" s="1">
        <v>3</v>
      </c>
      <c r="U101" s="1">
        <v>36001</v>
      </c>
      <c r="V101" s="1">
        <v>2277.1999999999998</v>
      </c>
      <c r="W101" s="2">
        <v>7.2999999999999995E-2</v>
      </c>
    </row>
    <row r="102" spans="1:23" x14ac:dyDescent="0.2">
      <c r="A102" t="s">
        <v>130</v>
      </c>
      <c r="B102" t="s">
        <v>28</v>
      </c>
      <c r="C102" s="1">
        <v>46276</v>
      </c>
      <c r="D102" s="1">
        <v>47501</v>
      </c>
      <c r="E102" s="1">
        <v>48343</v>
      </c>
      <c r="F102" s="1">
        <v>45918</v>
      </c>
      <c r="G102" s="1">
        <v>38457</v>
      </c>
      <c r="H102" s="1">
        <v>26482</v>
      </c>
      <c r="I102" s="1">
        <v>28562</v>
      </c>
      <c r="J102" s="1">
        <v>25354</v>
      </c>
      <c r="K102" s="1">
        <v>32136</v>
      </c>
      <c r="L102" s="1">
        <v>32682</v>
      </c>
      <c r="M102" s="1">
        <v>40692</v>
      </c>
      <c r="N102" s="1">
        <v>46965</v>
      </c>
      <c r="O102" s="1">
        <v>459375</v>
      </c>
      <c r="P102" s="1">
        <v>208025</v>
      </c>
      <c r="Q102" s="1">
        <v>53137</v>
      </c>
      <c r="R102" s="1">
        <v>147</v>
      </c>
      <c r="S102" s="1">
        <v>1304</v>
      </c>
      <c r="T102" s="1">
        <v>1</v>
      </c>
      <c r="U102" s="1">
        <v>12093</v>
      </c>
      <c r="V102" s="1">
        <v>361.47619047619048</v>
      </c>
      <c r="W102" s="2">
        <v>5.8999999999999997E-2</v>
      </c>
    </row>
    <row r="103" spans="1:23" x14ac:dyDescent="0.2">
      <c r="A103" t="s">
        <v>131</v>
      </c>
      <c r="B103" t="s">
        <v>26</v>
      </c>
      <c r="C103" s="1">
        <v>41350</v>
      </c>
      <c r="D103" s="1">
        <v>46374</v>
      </c>
      <c r="E103" s="1">
        <v>58627</v>
      </c>
      <c r="F103" s="1">
        <v>41266</v>
      </c>
      <c r="G103" s="1">
        <v>51615</v>
      </c>
      <c r="H103" s="1">
        <v>33613</v>
      </c>
      <c r="I103" s="1">
        <v>35335</v>
      </c>
      <c r="J103" s="1">
        <v>33758</v>
      </c>
      <c r="K103" s="1">
        <v>35295</v>
      </c>
      <c r="L103" s="1">
        <v>38278</v>
      </c>
      <c r="M103" s="1">
        <v>43255</v>
      </c>
      <c r="N103" s="1">
        <v>58324</v>
      </c>
      <c r="O103" s="1">
        <v>517096</v>
      </c>
      <c r="P103" s="1">
        <v>226414</v>
      </c>
      <c r="Q103" s="1">
        <v>46951</v>
      </c>
      <c r="R103" s="1">
        <v>135</v>
      </c>
      <c r="S103" s="1">
        <v>2896</v>
      </c>
      <c r="T103" s="1">
        <v>1</v>
      </c>
      <c r="U103" s="1">
        <v>28068</v>
      </c>
      <c r="V103" s="1">
        <v>347.78518518518518</v>
      </c>
      <c r="W103" s="2">
        <v>5.8000000000000003E-2</v>
      </c>
    </row>
    <row r="104" spans="1:23" x14ac:dyDescent="0.2">
      <c r="A104" t="s">
        <v>132</v>
      </c>
      <c r="B104" t="s">
        <v>32</v>
      </c>
      <c r="C104" s="1">
        <v>36728</v>
      </c>
      <c r="D104" s="1">
        <v>39950</v>
      </c>
      <c r="E104" s="1">
        <v>38474</v>
      </c>
      <c r="F104" s="1">
        <v>43882</v>
      </c>
      <c r="G104" s="1">
        <v>37271</v>
      </c>
      <c r="H104" s="1">
        <v>33320</v>
      </c>
      <c r="I104" s="1">
        <v>28841</v>
      </c>
      <c r="J104" s="1">
        <v>26146</v>
      </c>
      <c r="K104" s="1">
        <v>23693</v>
      </c>
      <c r="L104" s="1">
        <v>35265</v>
      </c>
      <c r="M104" s="1">
        <v>28852</v>
      </c>
      <c r="N104" s="1">
        <v>43810</v>
      </c>
      <c r="O104" s="1">
        <v>416237</v>
      </c>
      <c r="P104" s="1">
        <v>237283</v>
      </c>
      <c r="Q104" s="1">
        <v>41520</v>
      </c>
      <c r="R104" s="1">
        <v>103</v>
      </c>
      <c r="S104" s="1">
        <v>1366</v>
      </c>
      <c r="T104" s="1">
        <v>3</v>
      </c>
      <c r="U104" s="1">
        <v>27529</v>
      </c>
      <c r="V104" s="1">
        <v>403.10679611650488</v>
      </c>
      <c r="W104" s="2">
        <v>6.4000000000000001E-2</v>
      </c>
    </row>
    <row r="105" spans="1:23" x14ac:dyDescent="0.2">
      <c r="A105" t="s">
        <v>133</v>
      </c>
      <c r="B105" t="s">
        <v>40</v>
      </c>
      <c r="C105" s="1">
        <v>35526</v>
      </c>
      <c r="D105" s="1">
        <v>34760</v>
      </c>
      <c r="E105" s="1">
        <v>38634</v>
      </c>
      <c r="F105" s="1">
        <v>33272</v>
      </c>
      <c r="G105" s="1">
        <v>30239</v>
      </c>
      <c r="H105" s="1">
        <v>22175</v>
      </c>
      <c r="I105" s="1">
        <v>21469</v>
      </c>
      <c r="J105" s="1">
        <v>18993</v>
      </c>
      <c r="K105" s="1">
        <v>22692</v>
      </c>
      <c r="L105" s="1">
        <v>21463</v>
      </c>
      <c r="M105" s="1">
        <v>31210</v>
      </c>
      <c r="N105" s="1">
        <v>31482</v>
      </c>
      <c r="O105" s="1">
        <v>341921</v>
      </c>
      <c r="P105" s="1">
        <v>190539</v>
      </c>
      <c r="Q105" s="1">
        <v>27591</v>
      </c>
      <c r="R105" s="1">
        <v>20</v>
      </c>
      <c r="S105" s="1">
        <v>1916</v>
      </c>
      <c r="T105" s="1">
        <v>3</v>
      </c>
      <c r="U105" s="1">
        <v>60592</v>
      </c>
      <c r="V105" s="1">
        <v>1379.55</v>
      </c>
      <c r="W105" s="2">
        <v>4.2000000000000003E-2</v>
      </c>
    </row>
    <row r="106" spans="1:23" x14ac:dyDescent="0.2">
      <c r="A106" t="s">
        <v>134</v>
      </c>
      <c r="B106" t="s">
        <v>30</v>
      </c>
      <c r="C106" s="1">
        <v>15127</v>
      </c>
      <c r="D106" s="1">
        <v>15817</v>
      </c>
      <c r="E106" s="1">
        <v>13160</v>
      </c>
      <c r="F106" s="1">
        <v>12907</v>
      </c>
      <c r="G106" s="1">
        <v>13543</v>
      </c>
      <c r="H106" s="1">
        <v>8998</v>
      </c>
      <c r="I106" s="1">
        <v>11932</v>
      </c>
      <c r="J106" s="1">
        <v>10418</v>
      </c>
      <c r="K106" s="1">
        <v>10089</v>
      </c>
      <c r="L106" s="1">
        <v>10321</v>
      </c>
      <c r="M106" s="1">
        <v>12694</v>
      </c>
      <c r="N106" s="1">
        <v>17224</v>
      </c>
      <c r="O106" s="1">
        <v>152237</v>
      </c>
      <c r="P106" s="1">
        <v>74883</v>
      </c>
      <c r="Q106" s="1">
        <v>16774</v>
      </c>
      <c r="R106" s="1">
        <v>167</v>
      </c>
      <c r="S106" s="1">
        <v>4082</v>
      </c>
      <c r="T106" s="1">
        <v>3</v>
      </c>
      <c r="U106" s="1">
        <v>105464</v>
      </c>
      <c r="V106" s="1">
        <v>100.44311377245509</v>
      </c>
      <c r="W106" s="2">
        <v>5.8999999999999997E-2</v>
      </c>
    </row>
    <row r="107" spans="1:23" x14ac:dyDescent="0.2">
      <c r="A107" t="s">
        <v>135</v>
      </c>
      <c r="B107" t="s">
        <v>24</v>
      </c>
      <c r="C107" s="1">
        <v>15937</v>
      </c>
      <c r="D107" s="1">
        <v>15473</v>
      </c>
      <c r="E107" s="1">
        <v>14752</v>
      </c>
      <c r="F107" s="1">
        <v>17745</v>
      </c>
      <c r="G107" s="1">
        <v>11479</v>
      </c>
      <c r="H107" s="1">
        <v>13505</v>
      </c>
      <c r="I107" s="1">
        <v>10660</v>
      </c>
      <c r="J107" s="1">
        <v>9327</v>
      </c>
      <c r="K107" s="1">
        <v>13131</v>
      </c>
      <c r="L107" s="1">
        <v>12401</v>
      </c>
      <c r="M107" s="1">
        <v>15620</v>
      </c>
      <c r="N107" s="1">
        <v>14842</v>
      </c>
      <c r="O107" s="1">
        <v>164878</v>
      </c>
      <c r="P107" s="1">
        <v>60716</v>
      </c>
      <c r="Q107" s="1">
        <v>23506</v>
      </c>
      <c r="R107" s="1">
        <v>35</v>
      </c>
      <c r="S107" s="1">
        <v>3313</v>
      </c>
      <c r="T107" s="1">
        <v>1</v>
      </c>
      <c r="U107" s="1">
        <v>29069</v>
      </c>
      <c r="V107" s="1">
        <v>671.6</v>
      </c>
      <c r="W107" s="2">
        <v>7.1999999999999995E-2</v>
      </c>
    </row>
    <row r="108" spans="1:23" x14ac:dyDescent="0.2">
      <c r="A108" t="s">
        <v>136</v>
      </c>
      <c r="B108" t="s">
        <v>28</v>
      </c>
      <c r="C108" s="1">
        <v>32117</v>
      </c>
      <c r="D108" s="1">
        <v>31858</v>
      </c>
      <c r="E108" s="1">
        <v>33394</v>
      </c>
      <c r="F108" s="1">
        <v>37622</v>
      </c>
      <c r="G108" s="1">
        <v>32296</v>
      </c>
      <c r="H108" s="1">
        <v>30657</v>
      </c>
      <c r="I108" s="1">
        <v>22564</v>
      </c>
      <c r="J108" s="1">
        <v>17080</v>
      </c>
      <c r="K108" s="1">
        <v>25269</v>
      </c>
      <c r="L108" s="1">
        <v>24152</v>
      </c>
      <c r="M108" s="1">
        <v>27451</v>
      </c>
      <c r="N108" s="1">
        <v>31734</v>
      </c>
      <c r="O108" s="1">
        <v>346198</v>
      </c>
      <c r="P108" s="1">
        <v>198958</v>
      </c>
      <c r="Q108" s="1">
        <v>48230</v>
      </c>
      <c r="R108" s="1">
        <v>79</v>
      </c>
      <c r="S108" s="1">
        <v>3937</v>
      </c>
      <c r="T108" s="1">
        <v>1</v>
      </c>
      <c r="U108" s="1">
        <v>55814</v>
      </c>
      <c r="V108" s="1">
        <v>610.50632911392404</v>
      </c>
      <c r="W108" s="2">
        <v>0.03</v>
      </c>
    </row>
    <row r="109" spans="1:23" x14ac:dyDescent="0.2">
      <c r="A109" t="s">
        <v>137</v>
      </c>
      <c r="B109" t="s">
        <v>28</v>
      </c>
      <c r="C109" s="1">
        <v>26654</v>
      </c>
      <c r="D109" s="1">
        <v>28085</v>
      </c>
      <c r="E109" s="1">
        <v>23881</v>
      </c>
      <c r="F109" s="1">
        <v>19798</v>
      </c>
      <c r="G109" s="1">
        <v>16990</v>
      </c>
      <c r="H109" s="1">
        <v>16962</v>
      </c>
      <c r="I109" s="1">
        <v>19887</v>
      </c>
      <c r="J109" s="1">
        <v>18548</v>
      </c>
      <c r="K109" s="1">
        <v>20104</v>
      </c>
      <c r="L109" s="1">
        <v>21871</v>
      </c>
      <c r="M109" s="1">
        <v>22929</v>
      </c>
      <c r="N109" s="1">
        <v>26888</v>
      </c>
      <c r="O109" s="1">
        <v>262602</v>
      </c>
      <c r="P109" s="1">
        <v>94749</v>
      </c>
      <c r="Q109" s="1">
        <v>28474</v>
      </c>
      <c r="R109" s="1">
        <v>121</v>
      </c>
      <c r="S109" s="1">
        <v>1493</v>
      </c>
      <c r="T109" s="1">
        <v>4</v>
      </c>
      <c r="U109" s="1">
        <v>77903</v>
      </c>
      <c r="V109" s="1">
        <v>235.32231404958677</v>
      </c>
      <c r="W109" s="2">
        <v>4.9000000000000002E-2</v>
      </c>
    </row>
    <row r="110" spans="1:23" x14ac:dyDescent="0.2">
      <c r="A110" t="s">
        <v>138</v>
      </c>
      <c r="B110" t="s">
        <v>30</v>
      </c>
      <c r="C110" s="1">
        <v>62322</v>
      </c>
      <c r="D110" s="1">
        <v>60650</v>
      </c>
      <c r="E110" s="1">
        <v>69395</v>
      </c>
      <c r="F110" s="1">
        <v>51145</v>
      </c>
      <c r="G110" s="1">
        <v>42005</v>
      </c>
      <c r="H110" s="1">
        <v>52368</v>
      </c>
      <c r="I110" s="1">
        <v>37526</v>
      </c>
      <c r="J110" s="1">
        <v>32670</v>
      </c>
      <c r="K110" s="1">
        <v>46780</v>
      </c>
      <c r="L110" s="1">
        <v>42864</v>
      </c>
      <c r="M110" s="1">
        <v>60633</v>
      </c>
      <c r="N110" s="1">
        <v>52809</v>
      </c>
      <c r="O110" s="1">
        <v>611172</v>
      </c>
      <c r="P110" s="1">
        <v>354223</v>
      </c>
      <c r="Q110" s="1">
        <v>32895</v>
      </c>
      <c r="R110" s="1">
        <v>205</v>
      </c>
      <c r="S110" s="1">
        <v>941</v>
      </c>
      <c r="T110" s="1">
        <v>1</v>
      </c>
      <c r="U110" s="1">
        <v>7757</v>
      </c>
      <c r="V110" s="1">
        <v>160.46341463414635</v>
      </c>
      <c r="W110" s="2">
        <v>5.0999999999999997E-2</v>
      </c>
    </row>
    <row r="111" spans="1:23" x14ac:dyDescent="0.2">
      <c r="A111" t="s">
        <v>139</v>
      </c>
      <c r="B111" t="s">
        <v>40</v>
      </c>
      <c r="C111" s="1">
        <v>72875</v>
      </c>
      <c r="D111" s="1">
        <v>63009</v>
      </c>
      <c r="E111" s="1">
        <v>76901</v>
      </c>
      <c r="F111" s="1">
        <v>81726</v>
      </c>
      <c r="G111" s="1">
        <v>72595</v>
      </c>
      <c r="H111" s="1">
        <v>44905</v>
      </c>
      <c r="I111" s="1">
        <v>56058</v>
      </c>
      <c r="J111" s="1">
        <v>43465</v>
      </c>
      <c r="K111" s="1">
        <v>53742</v>
      </c>
      <c r="L111" s="1">
        <v>54053</v>
      </c>
      <c r="M111" s="1">
        <v>60711</v>
      </c>
      <c r="N111" s="1">
        <v>72069</v>
      </c>
      <c r="O111" s="1">
        <v>752113</v>
      </c>
      <c r="P111" s="1">
        <v>379529</v>
      </c>
      <c r="Q111" s="1">
        <v>56159</v>
      </c>
      <c r="R111" s="1">
        <v>96</v>
      </c>
      <c r="S111" s="1">
        <v>754</v>
      </c>
      <c r="T111" s="1">
        <v>3</v>
      </c>
      <c r="U111" s="1">
        <v>22868</v>
      </c>
      <c r="V111" s="1">
        <v>584.98958333333337</v>
      </c>
      <c r="W111" s="2">
        <v>4.9000000000000002E-2</v>
      </c>
    </row>
    <row r="112" spans="1:23" x14ac:dyDescent="0.2">
      <c r="A112" t="s">
        <v>140</v>
      </c>
      <c r="B112" t="s">
        <v>26</v>
      </c>
      <c r="C112" s="1">
        <v>56295</v>
      </c>
      <c r="D112" s="1">
        <v>57149</v>
      </c>
      <c r="E112" s="1">
        <v>59319</v>
      </c>
      <c r="F112" s="1">
        <v>57048</v>
      </c>
      <c r="G112" s="1">
        <v>50570</v>
      </c>
      <c r="H112" s="1">
        <v>41589</v>
      </c>
      <c r="I112" s="1">
        <v>44505</v>
      </c>
      <c r="J112" s="1">
        <v>31539</v>
      </c>
      <c r="K112" s="1">
        <v>34778</v>
      </c>
      <c r="L112" s="1">
        <v>35213</v>
      </c>
      <c r="M112" s="1">
        <v>44390</v>
      </c>
      <c r="N112" s="1">
        <v>65443</v>
      </c>
      <c r="O112" s="1">
        <v>577843</v>
      </c>
      <c r="P112" s="1">
        <v>244030</v>
      </c>
      <c r="Q112" s="1">
        <v>77889</v>
      </c>
      <c r="R112" s="1">
        <v>39</v>
      </c>
      <c r="S112" s="1">
        <v>2375</v>
      </c>
      <c r="T112" s="1">
        <v>3</v>
      </c>
      <c r="U112" s="1">
        <v>132775</v>
      </c>
      <c r="V112" s="1">
        <v>1997.1538461538462</v>
      </c>
      <c r="W112" s="2">
        <v>3.1E-2</v>
      </c>
    </row>
    <row r="113" spans="1:23" x14ac:dyDescent="0.2">
      <c r="A113" t="s">
        <v>141</v>
      </c>
      <c r="B113" t="s">
        <v>32</v>
      </c>
      <c r="C113" s="1">
        <v>56171</v>
      </c>
      <c r="D113" s="1">
        <v>55713</v>
      </c>
      <c r="E113" s="1">
        <v>50303</v>
      </c>
      <c r="F113" s="1">
        <v>49548</v>
      </c>
      <c r="G113" s="1">
        <v>46908</v>
      </c>
      <c r="H113" s="1">
        <v>39871</v>
      </c>
      <c r="I113" s="1">
        <v>36259</v>
      </c>
      <c r="J113" s="1">
        <v>28491</v>
      </c>
      <c r="K113" s="1">
        <v>42096</v>
      </c>
      <c r="L113" s="1">
        <v>46655</v>
      </c>
      <c r="M113" s="1">
        <v>47351</v>
      </c>
      <c r="N113" s="1">
        <v>61690</v>
      </c>
      <c r="O113" s="1">
        <v>561060</v>
      </c>
      <c r="P113" s="1">
        <v>223886</v>
      </c>
      <c r="Q113" s="1">
        <v>57253</v>
      </c>
      <c r="R113" s="1">
        <v>156</v>
      </c>
      <c r="S113" s="1">
        <v>3049</v>
      </c>
      <c r="T113" s="1">
        <v>3</v>
      </c>
      <c r="U113" s="1">
        <v>76346</v>
      </c>
      <c r="V113" s="1">
        <v>367.00641025641028</v>
      </c>
      <c r="W113" s="2">
        <v>7.1999999999999995E-2</v>
      </c>
    </row>
    <row r="114" spans="1:23" x14ac:dyDescent="0.2">
      <c r="A114" t="s">
        <v>142</v>
      </c>
      <c r="B114" t="s">
        <v>30</v>
      </c>
      <c r="C114" s="1">
        <v>28758</v>
      </c>
      <c r="D114" s="1">
        <v>33602</v>
      </c>
      <c r="E114" s="1">
        <v>34306</v>
      </c>
      <c r="F114" s="1">
        <v>35002</v>
      </c>
      <c r="G114" s="1">
        <v>36328</v>
      </c>
      <c r="H114" s="1">
        <v>26870</v>
      </c>
      <c r="I114" s="1">
        <v>25610</v>
      </c>
      <c r="J114" s="1">
        <v>20255</v>
      </c>
      <c r="K114" s="1">
        <v>20349</v>
      </c>
      <c r="L114" s="1">
        <v>29931</v>
      </c>
      <c r="M114" s="1">
        <v>34623</v>
      </c>
      <c r="N114" s="1">
        <v>32888</v>
      </c>
      <c r="O114" s="1">
        <v>358527</v>
      </c>
      <c r="P114" s="1">
        <v>223487</v>
      </c>
      <c r="Q114" s="1">
        <v>20676</v>
      </c>
      <c r="R114" s="1">
        <v>104</v>
      </c>
      <c r="S114" s="1">
        <v>3544</v>
      </c>
      <c r="T114" s="1">
        <v>2</v>
      </c>
      <c r="U114" s="1">
        <v>74158</v>
      </c>
      <c r="V114" s="1">
        <v>198.80769230769232</v>
      </c>
      <c r="W114" s="2">
        <v>3.5999999999999997E-2</v>
      </c>
    </row>
    <row r="115" spans="1:23" x14ac:dyDescent="0.2">
      <c r="A115" t="s">
        <v>143</v>
      </c>
      <c r="B115" t="s">
        <v>32</v>
      </c>
      <c r="C115" s="1">
        <v>65994</v>
      </c>
      <c r="D115" s="1">
        <v>67607</v>
      </c>
      <c r="E115" s="1">
        <v>82397</v>
      </c>
      <c r="F115" s="1">
        <v>71058</v>
      </c>
      <c r="G115" s="1">
        <v>51540</v>
      </c>
      <c r="H115" s="1">
        <v>48464</v>
      </c>
      <c r="I115" s="1">
        <v>39639</v>
      </c>
      <c r="J115" s="1">
        <v>50140</v>
      </c>
      <c r="K115" s="1">
        <v>53761</v>
      </c>
      <c r="L115" s="1">
        <v>50448</v>
      </c>
      <c r="M115" s="1">
        <v>64642</v>
      </c>
      <c r="N115" s="1">
        <v>60871</v>
      </c>
      <c r="O115" s="1">
        <v>706568</v>
      </c>
      <c r="P115" s="1">
        <v>440285</v>
      </c>
      <c r="Q115" s="1">
        <v>110007</v>
      </c>
      <c r="R115" s="1">
        <v>175</v>
      </c>
      <c r="S115" s="1">
        <v>2725</v>
      </c>
      <c r="T115" s="1">
        <v>3</v>
      </c>
      <c r="U115" s="1">
        <v>38511</v>
      </c>
      <c r="V115" s="1">
        <v>628.61142857142852</v>
      </c>
      <c r="W115" s="2">
        <v>0.08</v>
      </c>
    </row>
    <row r="116" spans="1:23" x14ac:dyDescent="0.2">
      <c r="A116" t="s">
        <v>144</v>
      </c>
      <c r="B116" t="s">
        <v>30</v>
      </c>
      <c r="C116" s="1">
        <v>14247</v>
      </c>
      <c r="D116" s="1">
        <v>13965</v>
      </c>
      <c r="E116" s="1">
        <v>15628</v>
      </c>
      <c r="F116" s="1">
        <v>12528</v>
      </c>
      <c r="G116" s="1">
        <v>11569</v>
      </c>
      <c r="H116" s="1">
        <v>11285</v>
      </c>
      <c r="I116" s="1">
        <v>9242</v>
      </c>
      <c r="J116" s="1">
        <v>10526</v>
      </c>
      <c r="K116" s="1">
        <v>9820</v>
      </c>
      <c r="L116" s="1">
        <v>10897</v>
      </c>
      <c r="M116" s="1">
        <v>11515</v>
      </c>
      <c r="N116" s="1">
        <v>12525</v>
      </c>
      <c r="O116" s="1">
        <v>143753</v>
      </c>
      <c r="P116" s="1">
        <v>51440</v>
      </c>
      <c r="Q116" s="1">
        <v>21890</v>
      </c>
      <c r="R116" s="1">
        <v>51</v>
      </c>
      <c r="S116" s="1">
        <v>3527</v>
      </c>
      <c r="T116" s="1">
        <v>1</v>
      </c>
      <c r="U116" s="1">
        <v>56622</v>
      </c>
      <c r="V116" s="1">
        <v>429.21568627450978</v>
      </c>
      <c r="W116" s="2">
        <v>0.04</v>
      </c>
    </row>
    <row r="117" spans="1:23" x14ac:dyDescent="0.2">
      <c r="A117" t="s">
        <v>145</v>
      </c>
      <c r="B117" t="s">
        <v>32</v>
      </c>
      <c r="C117" s="1">
        <v>19303</v>
      </c>
      <c r="D117" s="1">
        <v>23079</v>
      </c>
      <c r="E117" s="1">
        <v>18482</v>
      </c>
      <c r="F117" s="1">
        <v>18621</v>
      </c>
      <c r="G117" s="1">
        <v>18699</v>
      </c>
      <c r="H117" s="1">
        <v>12890</v>
      </c>
      <c r="I117" s="1">
        <v>15002</v>
      </c>
      <c r="J117" s="1">
        <v>14136</v>
      </c>
      <c r="K117" s="1">
        <v>16741</v>
      </c>
      <c r="L117" s="1">
        <v>14823</v>
      </c>
      <c r="M117" s="1">
        <v>17395</v>
      </c>
      <c r="N117" s="1">
        <v>20770</v>
      </c>
      <c r="O117" s="1">
        <v>209944</v>
      </c>
      <c r="P117" s="1">
        <v>101955</v>
      </c>
      <c r="Q117" s="1">
        <v>34667</v>
      </c>
      <c r="R117" s="1">
        <v>205</v>
      </c>
      <c r="S117" s="1">
        <v>2280</v>
      </c>
      <c r="T117" s="1">
        <v>3</v>
      </c>
      <c r="U117" s="1">
        <v>103479</v>
      </c>
      <c r="V117" s="1">
        <v>169.10731707317072</v>
      </c>
      <c r="W117" s="2">
        <v>3.4000000000000002E-2</v>
      </c>
    </row>
    <row r="118" spans="1:23" x14ac:dyDescent="0.2">
      <c r="A118" t="s">
        <v>146</v>
      </c>
      <c r="B118" t="s">
        <v>26</v>
      </c>
      <c r="C118" s="1">
        <v>38229</v>
      </c>
      <c r="D118" s="1">
        <v>46488</v>
      </c>
      <c r="E118" s="1">
        <v>51522</v>
      </c>
      <c r="F118" s="1">
        <v>48076</v>
      </c>
      <c r="G118" s="1">
        <v>37502</v>
      </c>
      <c r="H118" s="1">
        <v>36161</v>
      </c>
      <c r="I118" s="1">
        <v>26675</v>
      </c>
      <c r="J118" s="1">
        <v>22713</v>
      </c>
      <c r="K118" s="1">
        <v>22373</v>
      </c>
      <c r="L118" s="1">
        <v>29386</v>
      </c>
      <c r="M118" s="1">
        <v>36225</v>
      </c>
      <c r="N118" s="1">
        <v>36875</v>
      </c>
      <c r="O118" s="1">
        <v>432230</v>
      </c>
      <c r="P118" s="1">
        <v>261763</v>
      </c>
      <c r="Q118" s="1">
        <v>61732</v>
      </c>
      <c r="R118" s="1">
        <v>159</v>
      </c>
      <c r="S118" s="1">
        <v>3426</v>
      </c>
      <c r="T118" s="1">
        <v>1</v>
      </c>
      <c r="U118" s="1">
        <v>43586</v>
      </c>
      <c r="V118" s="1">
        <v>388.25157232704402</v>
      </c>
      <c r="W118" s="2">
        <v>3.1E-2</v>
      </c>
    </row>
    <row r="119" spans="1:23" x14ac:dyDescent="0.2">
      <c r="A119" t="s">
        <v>147</v>
      </c>
      <c r="B119" t="s">
        <v>26</v>
      </c>
      <c r="C119" s="1">
        <v>16755</v>
      </c>
      <c r="D119" s="1">
        <v>17174</v>
      </c>
      <c r="E119" s="1">
        <v>16433</v>
      </c>
      <c r="F119" s="1">
        <v>16973</v>
      </c>
      <c r="G119" s="1">
        <v>14808</v>
      </c>
      <c r="H119" s="1">
        <v>14194</v>
      </c>
      <c r="I119" s="1">
        <v>11440</v>
      </c>
      <c r="J119" s="1">
        <v>11605</v>
      </c>
      <c r="K119" s="1">
        <v>10681</v>
      </c>
      <c r="L119" s="1">
        <v>14102</v>
      </c>
      <c r="M119" s="1">
        <v>13639</v>
      </c>
      <c r="N119" s="1">
        <v>14023</v>
      </c>
      <c r="O119" s="1">
        <v>171830</v>
      </c>
      <c r="P119" s="1">
        <v>98797</v>
      </c>
      <c r="Q119" s="1">
        <v>14474</v>
      </c>
      <c r="R119" s="1">
        <v>178</v>
      </c>
      <c r="S119" s="1">
        <v>3607</v>
      </c>
      <c r="T119" s="1">
        <v>1</v>
      </c>
      <c r="U119" s="1">
        <v>23954</v>
      </c>
      <c r="V119" s="1">
        <v>81.31460674157303</v>
      </c>
      <c r="W119" s="2">
        <v>6.4000000000000001E-2</v>
      </c>
    </row>
    <row r="120" spans="1:23" x14ac:dyDescent="0.2">
      <c r="A120" t="s">
        <v>148</v>
      </c>
      <c r="B120" t="s">
        <v>26</v>
      </c>
      <c r="C120" s="1">
        <v>38996</v>
      </c>
      <c r="D120" s="1">
        <v>41052</v>
      </c>
      <c r="E120" s="1">
        <v>47886</v>
      </c>
      <c r="F120" s="1">
        <v>47963</v>
      </c>
      <c r="G120" s="1">
        <v>45516</v>
      </c>
      <c r="H120" s="1">
        <v>35379</v>
      </c>
      <c r="I120" s="1">
        <v>31644</v>
      </c>
      <c r="J120" s="1">
        <v>24864</v>
      </c>
      <c r="K120" s="1">
        <v>30890</v>
      </c>
      <c r="L120" s="1">
        <v>39009</v>
      </c>
      <c r="M120" s="1">
        <v>43455</v>
      </c>
      <c r="N120" s="1">
        <v>52098</v>
      </c>
      <c r="O120" s="1">
        <v>478757</v>
      </c>
      <c r="P120" s="1">
        <v>192073</v>
      </c>
      <c r="Q120" s="1">
        <v>80370</v>
      </c>
      <c r="R120" s="1">
        <v>35</v>
      </c>
      <c r="S120" s="1">
        <v>1118</v>
      </c>
      <c r="T120" s="1">
        <v>1</v>
      </c>
      <c r="U120" s="1">
        <v>14553</v>
      </c>
      <c r="V120" s="1">
        <v>2296.2857142857142</v>
      </c>
      <c r="W120" s="2">
        <v>4.5999999999999999E-2</v>
      </c>
    </row>
    <row r="121" spans="1:23" x14ac:dyDescent="0.2">
      <c r="A121" t="s">
        <v>149</v>
      </c>
      <c r="B121" t="s">
        <v>28</v>
      </c>
      <c r="C121" s="1">
        <v>38001</v>
      </c>
      <c r="D121" s="1">
        <v>40674</v>
      </c>
      <c r="E121" s="1">
        <v>49973</v>
      </c>
      <c r="F121" s="1">
        <v>46755</v>
      </c>
      <c r="G121" s="1">
        <v>43524</v>
      </c>
      <c r="H121" s="1">
        <v>36266</v>
      </c>
      <c r="I121" s="1">
        <v>35332</v>
      </c>
      <c r="J121" s="1">
        <v>28727</v>
      </c>
      <c r="K121" s="1">
        <v>37429</v>
      </c>
      <c r="L121" s="1">
        <v>42862</v>
      </c>
      <c r="M121" s="1">
        <v>42305</v>
      </c>
      <c r="N121" s="1">
        <v>46507</v>
      </c>
      <c r="O121" s="1">
        <v>488360</v>
      </c>
      <c r="P121" s="1">
        <v>248699</v>
      </c>
      <c r="Q121" s="1">
        <v>34807</v>
      </c>
      <c r="R121" s="1">
        <v>202</v>
      </c>
      <c r="S121" s="1">
        <v>2752</v>
      </c>
      <c r="T121" s="1">
        <v>4</v>
      </c>
      <c r="U121" s="1">
        <v>61388</v>
      </c>
      <c r="V121" s="1">
        <v>172.3118811881188</v>
      </c>
      <c r="W121" s="2">
        <v>8.7999999999999995E-2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10D5-5923-6E41-9D12-0C0A18DBC35E}">
  <sheetPr codeName="Sheet3"/>
  <dimension ref="A1:H121"/>
  <sheetViews>
    <sheetView workbookViewId="0">
      <selection activeCell="G2" sqref="G2"/>
    </sheetView>
  </sheetViews>
  <sheetFormatPr baseColWidth="10" defaultRowHeight="16" x14ac:dyDescent="0.2"/>
  <cols>
    <col min="1" max="1" width="9" bestFit="1" customWidth="1"/>
    <col min="2" max="2" width="13" bestFit="1" customWidth="1"/>
    <col min="3" max="3" width="6.1640625" bestFit="1" customWidth="1"/>
    <col min="4" max="4" width="12.5" bestFit="1" customWidth="1"/>
    <col min="5" max="5" width="4.83203125" bestFit="1" customWidth="1"/>
    <col min="6" max="6" width="7.1640625" bestFit="1" customWidth="1"/>
    <col min="7" max="7" width="4.1640625" bestFit="1" customWidth="1"/>
    <col min="8" max="8" width="6" bestFit="1" customWidth="1"/>
  </cols>
  <sheetData>
    <row r="1" spans="1:8" x14ac:dyDescent="0.2">
      <c r="A1" s="3" t="s">
        <v>0</v>
      </c>
      <c r="B1" s="3" t="s">
        <v>14</v>
      </c>
      <c r="C1" s="3" t="s">
        <v>150</v>
      </c>
      <c r="D1" s="3" t="s">
        <v>151</v>
      </c>
      <c r="E1" s="3" t="s">
        <v>152</v>
      </c>
      <c r="F1" s="3" t="s">
        <v>153</v>
      </c>
      <c r="G1" s="3" t="s">
        <v>154</v>
      </c>
      <c r="H1" s="3" t="s">
        <v>155</v>
      </c>
    </row>
    <row r="2" spans="1:8" x14ac:dyDescent="0.2">
      <c r="A2" t="str">
        <f>Data!A2</f>
        <v>SKU-1001</v>
      </c>
      <c r="B2" s="1">
        <f>Data!O2</f>
        <v>297043</v>
      </c>
      <c r="C2" s="4">
        <f>B2/SUM(Data!$O$2:$O$121)</f>
        <v>5.3628200724876096E-3</v>
      </c>
      <c r="D2" s="4">
        <f>SUM($C$2:C2)</f>
        <v>5.3628200724876096E-3</v>
      </c>
      <c r="E2" t="str">
        <f>IF(D2&lt;=0.8,"A",IF(D2&lt;=0.95,"B","C"))</f>
        <v>A</v>
      </c>
      <c r="F2" s="4">
        <f>_xlfn.STDEV.S(Data!C2:N2)/AVERAGE(Data!C2:N2)</f>
        <v>0.19915511330381411</v>
      </c>
      <c r="G2" t="str">
        <f>IF(F2&lt;0.1,"X",IF(F2&lt;=0.25,"Y","Z"))</f>
        <v>Y</v>
      </c>
      <c r="H2" t="str">
        <f>E2&amp;G2</f>
        <v>AY</v>
      </c>
    </row>
    <row r="3" spans="1:8" x14ac:dyDescent="0.2">
      <c r="A3" t="str">
        <f>Data!A3</f>
        <v>SKU-1002</v>
      </c>
      <c r="B3" s="1">
        <f>Data!O3</f>
        <v>766445</v>
      </c>
      <c r="C3" s="4">
        <f>B3/SUM(Data!$O$2:$O$121)</f>
        <v>1.3837412867691769E-2</v>
      </c>
      <c r="D3" s="4">
        <f>SUM($C$2:C3)</f>
        <v>1.920023294017938E-2</v>
      </c>
      <c r="E3" t="str">
        <f t="shared" ref="E3:E66" si="0">IF(D3&lt;=0.8,"A",IF(D3&lt;=0.95,"B","C"))</f>
        <v>A</v>
      </c>
      <c r="F3" s="4">
        <f>_xlfn.STDEV.S(Data!C3:N3)/AVERAGE(Data!C3:N3)</f>
        <v>0.2240297055426359</v>
      </c>
      <c r="G3" t="str">
        <f t="shared" ref="G3:G66" si="1">IF(F3&lt;0.1,"X",IF(F3&lt;=0.25,"Y","Z"))</f>
        <v>Y</v>
      </c>
      <c r="H3" t="str">
        <f t="shared" ref="H3:H66" si="2">E3&amp;G3</f>
        <v>AY</v>
      </c>
    </row>
    <row r="4" spans="1:8" x14ac:dyDescent="0.2">
      <c r="A4" t="str">
        <f>Data!A4</f>
        <v>SKU-1003</v>
      </c>
      <c r="B4" s="1">
        <f>Data!O4</f>
        <v>315825</v>
      </c>
      <c r="C4" s="4">
        <f>B4/SUM(Data!$O$2:$O$121)</f>
        <v>5.7019106640903818E-3</v>
      </c>
      <c r="D4" s="4">
        <f>SUM($C$2:C4)</f>
        <v>2.4902143604269761E-2</v>
      </c>
      <c r="E4" t="str">
        <f t="shared" si="0"/>
        <v>A</v>
      </c>
      <c r="F4" s="4">
        <f>_xlfn.STDEV.S(Data!C4:N4)/AVERAGE(Data!C4:N4)</f>
        <v>0.17971384671792723</v>
      </c>
      <c r="G4" t="str">
        <f t="shared" si="1"/>
        <v>Y</v>
      </c>
      <c r="H4" t="str">
        <f t="shared" si="2"/>
        <v>AY</v>
      </c>
    </row>
    <row r="5" spans="1:8" x14ac:dyDescent="0.2">
      <c r="A5" t="str">
        <f>Data!A5</f>
        <v>SKU-1004</v>
      </c>
      <c r="B5" s="1">
        <f>Data!O5</f>
        <v>350592</v>
      </c>
      <c r="C5" s="4">
        <f>B5/SUM(Data!$O$2:$O$121)</f>
        <v>6.329594755148501E-3</v>
      </c>
      <c r="D5" s="4">
        <f>SUM($C$2:C5)</f>
        <v>3.1231738359418261E-2</v>
      </c>
      <c r="E5" t="str">
        <f t="shared" si="0"/>
        <v>A</v>
      </c>
      <c r="F5" s="4">
        <f>_xlfn.STDEV.S(Data!C5:N5)/AVERAGE(Data!C5:N5)</f>
        <v>0.17746281285663557</v>
      </c>
      <c r="G5" t="str">
        <f t="shared" si="1"/>
        <v>Y</v>
      </c>
      <c r="H5" t="str">
        <f t="shared" si="2"/>
        <v>AY</v>
      </c>
    </row>
    <row r="6" spans="1:8" x14ac:dyDescent="0.2">
      <c r="A6" t="str">
        <f>Data!A6</f>
        <v>SKU-1005</v>
      </c>
      <c r="B6" s="1">
        <f>Data!O6</f>
        <v>495229</v>
      </c>
      <c r="C6" s="4">
        <f>B6/SUM(Data!$O$2:$O$121)</f>
        <v>8.9408739531918503E-3</v>
      </c>
      <c r="D6" s="4">
        <f>SUM($C$2:C6)</f>
        <v>4.0172612312610115E-2</v>
      </c>
      <c r="E6" t="str">
        <f t="shared" si="0"/>
        <v>A</v>
      </c>
      <c r="F6" s="4">
        <f>_xlfn.STDEV.S(Data!C6:N6)/AVERAGE(Data!C6:N6)</f>
        <v>0.15431334821166953</v>
      </c>
      <c r="G6" t="str">
        <f t="shared" si="1"/>
        <v>Y</v>
      </c>
      <c r="H6" t="str">
        <f t="shared" si="2"/>
        <v>AY</v>
      </c>
    </row>
    <row r="7" spans="1:8" x14ac:dyDescent="0.2">
      <c r="A7" t="str">
        <f>Data!A7</f>
        <v>SKU-1006</v>
      </c>
      <c r="B7" s="1">
        <f>Data!O7</f>
        <v>212572</v>
      </c>
      <c r="C7" s="4">
        <f>B7/SUM(Data!$O$2:$O$121)</f>
        <v>3.8377790032043716E-3</v>
      </c>
      <c r="D7" s="4">
        <f>SUM($C$2:C7)</f>
        <v>4.4010391315814489E-2</v>
      </c>
      <c r="E7" t="str">
        <f t="shared" si="0"/>
        <v>A</v>
      </c>
      <c r="F7" s="4">
        <f>_xlfn.STDEV.S(Data!C7:N7)/AVERAGE(Data!C7:N7)</f>
        <v>0.17878018053963632</v>
      </c>
      <c r="G7" t="str">
        <f t="shared" si="1"/>
        <v>Y</v>
      </c>
      <c r="H7" t="str">
        <f t="shared" si="2"/>
        <v>AY</v>
      </c>
    </row>
    <row r="8" spans="1:8" x14ac:dyDescent="0.2">
      <c r="A8" t="str">
        <f>Data!A8</f>
        <v>SKU-1007</v>
      </c>
      <c r="B8" s="1">
        <f>Data!O8</f>
        <v>356734</v>
      </c>
      <c r="C8" s="4">
        <f>B8/SUM(Data!$O$2:$O$121)</f>
        <v>6.4404825420521445E-3</v>
      </c>
      <c r="D8" s="4">
        <f>SUM($C$2:C8)</f>
        <v>5.0450873857866632E-2</v>
      </c>
      <c r="E8" t="str">
        <f t="shared" si="0"/>
        <v>A</v>
      </c>
      <c r="F8" s="4">
        <f>_xlfn.STDEV.S(Data!C8:N8)/AVERAGE(Data!C8:N8)</f>
        <v>0.19197579378898208</v>
      </c>
      <c r="G8" t="str">
        <f t="shared" si="1"/>
        <v>Y</v>
      </c>
      <c r="H8" t="str">
        <f t="shared" si="2"/>
        <v>AY</v>
      </c>
    </row>
    <row r="9" spans="1:8" x14ac:dyDescent="0.2">
      <c r="A9" t="str">
        <f>Data!A9</f>
        <v>SKU-1008</v>
      </c>
      <c r="B9" s="1">
        <f>Data!O9</f>
        <v>642797</v>
      </c>
      <c r="C9" s="4">
        <f>B9/SUM(Data!$O$2:$O$121)</f>
        <v>1.1605069481976744E-2</v>
      </c>
      <c r="D9" s="4">
        <f>SUM($C$2:C9)</f>
        <v>6.2055943339843378E-2</v>
      </c>
      <c r="E9" t="str">
        <f t="shared" si="0"/>
        <v>A</v>
      </c>
      <c r="F9" s="4">
        <f>_xlfn.STDEV.S(Data!C9:N9)/AVERAGE(Data!C9:N9)</f>
        <v>0.15984240229847721</v>
      </c>
      <c r="G9" t="str">
        <f t="shared" si="1"/>
        <v>Y</v>
      </c>
      <c r="H9" t="str">
        <f t="shared" si="2"/>
        <v>AY</v>
      </c>
    </row>
    <row r="10" spans="1:8" x14ac:dyDescent="0.2">
      <c r="A10" t="str">
        <f>Data!A10</f>
        <v>SKU-1009</v>
      </c>
      <c r="B10" s="1">
        <f>Data!O10</f>
        <v>726488</v>
      </c>
      <c r="C10" s="4">
        <f>B10/SUM(Data!$O$2:$O$121)</f>
        <v>1.3116028416159877E-2</v>
      </c>
      <c r="D10" s="4">
        <f>SUM($C$2:C10)</f>
        <v>7.517197175600325E-2</v>
      </c>
      <c r="E10" t="str">
        <f t="shared" si="0"/>
        <v>A</v>
      </c>
      <c r="F10" s="4">
        <f>_xlfn.STDEV.S(Data!C10:N10)/AVERAGE(Data!C10:N10)</f>
        <v>0.1638570315972438</v>
      </c>
      <c r="G10" t="str">
        <f t="shared" si="1"/>
        <v>Y</v>
      </c>
      <c r="H10" t="str">
        <f t="shared" si="2"/>
        <v>AY</v>
      </c>
    </row>
    <row r="11" spans="1:8" x14ac:dyDescent="0.2">
      <c r="A11" t="str">
        <f>Data!A11</f>
        <v>SKU-1010</v>
      </c>
      <c r="B11" s="1">
        <f>Data!O11</f>
        <v>483709</v>
      </c>
      <c r="C11" s="4">
        <f>B11/SUM(Data!$O$2:$O$121)</f>
        <v>8.7328916501749222E-3</v>
      </c>
      <c r="D11" s="4">
        <f>SUM($C$2:C11)</f>
        <v>8.3904863406178171E-2</v>
      </c>
      <c r="E11" t="str">
        <f t="shared" si="0"/>
        <v>A</v>
      </c>
      <c r="F11" s="4">
        <f>_xlfn.STDEV.S(Data!C11:N11)/AVERAGE(Data!C11:N11)</f>
        <v>0.20849327975675744</v>
      </c>
      <c r="G11" t="str">
        <f t="shared" si="1"/>
        <v>Y</v>
      </c>
      <c r="H11" t="str">
        <f t="shared" si="2"/>
        <v>AY</v>
      </c>
    </row>
    <row r="12" spans="1:8" x14ac:dyDescent="0.2">
      <c r="A12" t="str">
        <f>Data!A12</f>
        <v>SKU-1011</v>
      </c>
      <c r="B12" s="1">
        <f>Data!O12</f>
        <v>351787</v>
      </c>
      <c r="C12" s="4">
        <f>B12/SUM(Data!$O$2:$O$121)</f>
        <v>6.3511693082826349E-3</v>
      </c>
      <c r="D12" s="4">
        <f>SUM($C$2:C12)</f>
        <v>9.025603271446081E-2</v>
      </c>
      <c r="E12" t="str">
        <f t="shared" si="0"/>
        <v>A</v>
      </c>
      <c r="F12" s="4">
        <f>_xlfn.STDEV.S(Data!C12:N12)/AVERAGE(Data!C12:N12)</f>
        <v>0.26836242922834053</v>
      </c>
      <c r="G12" t="str">
        <f t="shared" si="1"/>
        <v>Z</v>
      </c>
      <c r="H12" t="str">
        <f t="shared" si="2"/>
        <v>AZ</v>
      </c>
    </row>
    <row r="13" spans="1:8" x14ac:dyDescent="0.2">
      <c r="A13" t="str">
        <f>Data!A13</f>
        <v>SKU-1012</v>
      </c>
      <c r="B13" s="1">
        <f>Data!O13</f>
        <v>99110</v>
      </c>
      <c r="C13" s="4">
        <f>B13/SUM(Data!$O$2:$O$121)</f>
        <v>1.7893338586812246E-3</v>
      </c>
      <c r="D13" s="4">
        <f>SUM($C$2:C13)</f>
        <v>9.2045366573142037E-2</v>
      </c>
      <c r="E13" t="str">
        <f t="shared" si="0"/>
        <v>A</v>
      </c>
      <c r="F13" s="4">
        <f>_xlfn.STDEV.S(Data!C13:N13)/AVERAGE(Data!C13:N13)</f>
        <v>0.20399386908525027</v>
      </c>
      <c r="G13" t="str">
        <f t="shared" si="1"/>
        <v>Y</v>
      </c>
      <c r="H13" t="str">
        <f t="shared" si="2"/>
        <v>AY</v>
      </c>
    </row>
    <row r="14" spans="1:8" x14ac:dyDescent="0.2">
      <c r="A14" t="str">
        <f>Data!A14</f>
        <v>SKU-1013</v>
      </c>
      <c r="B14" s="1">
        <f>Data!O14</f>
        <v>342035</v>
      </c>
      <c r="C14" s="4">
        <f>B14/SUM(Data!$O$2:$O$121)</f>
        <v>6.1751065114926109E-3</v>
      </c>
      <c r="D14" s="4">
        <f>SUM($C$2:C14)</f>
        <v>9.8220473084634649E-2</v>
      </c>
      <c r="E14" t="str">
        <f t="shared" si="0"/>
        <v>A</v>
      </c>
      <c r="F14" s="4">
        <f>_xlfn.STDEV.S(Data!C14:N14)/AVERAGE(Data!C14:N14)</f>
        <v>0.21475538299780225</v>
      </c>
      <c r="G14" t="str">
        <f t="shared" si="1"/>
        <v>Y</v>
      </c>
      <c r="H14" t="str">
        <f t="shared" si="2"/>
        <v>AY</v>
      </c>
    </row>
    <row r="15" spans="1:8" x14ac:dyDescent="0.2">
      <c r="A15" t="str">
        <f>Data!A15</f>
        <v>SKU-1014</v>
      </c>
      <c r="B15" s="1">
        <f>Data!O15</f>
        <v>620746</v>
      </c>
      <c r="C15" s="4">
        <f>B15/SUM(Data!$O$2:$O$121)</f>
        <v>1.1206960301089048E-2</v>
      </c>
      <c r="D15" s="4">
        <f>SUM($C$2:C15)</f>
        <v>0.10942743338572369</v>
      </c>
      <c r="E15" t="str">
        <f t="shared" si="0"/>
        <v>A</v>
      </c>
      <c r="F15" s="4">
        <f>_xlfn.STDEV.S(Data!C15:N15)/AVERAGE(Data!C15:N15)</f>
        <v>0.25779164397679627</v>
      </c>
      <c r="G15" t="str">
        <f t="shared" si="1"/>
        <v>Z</v>
      </c>
      <c r="H15" t="str">
        <f t="shared" si="2"/>
        <v>AZ</v>
      </c>
    </row>
    <row r="16" spans="1:8" x14ac:dyDescent="0.2">
      <c r="A16" t="str">
        <f>Data!A16</f>
        <v>SKU-1015</v>
      </c>
      <c r="B16" s="1">
        <f>Data!O16</f>
        <v>629152</v>
      </c>
      <c r="C16" s="4">
        <f>B16/SUM(Data!$O$2:$O$121)</f>
        <v>1.1358722387821712E-2</v>
      </c>
      <c r="D16" s="4">
        <f>SUM($C$2:C16)</f>
        <v>0.1207861557735454</v>
      </c>
      <c r="E16" t="str">
        <f t="shared" si="0"/>
        <v>A</v>
      </c>
      <c r="F16" s="4">
        <f>_xlfn.STDEV.S(Data!C16:N16)/AVERAGE(Data!C16:N16)</f>
        <v>0.19487374057147466</v>
      </c>
      <c r="G16" t="str">
        <f t="shared" si="1"/>
        <v>Y</v>
      </c>
      <c r="H16" t="str">
        <f t="shared" si="2"/>
        <v>AY</v>
      </c>
    </row>
    <row r="17" spans="1:8" x14ac:dyDescent="0.2">
      <c r="A17" t="str">
        <f>Data!A17</f>
        <v>SKU-1016</v>
      </c>
      <c r="B17" s="1">
        <f>Data!O17</f>
        <v>342523</v>
      </c>
      <c r="C17" s="4">
        <f>B17/SUM(Data!$O$2:$O$121)</f>
        <v>6.1839168729398561E-3</v>
      </c>
      <c r="D17" s="4">
        <f>SUM($C$2:C17)</f>
        <v>0.12697007264648524</v>
      </c>
      <c r="E17" t="str">
        <f t="shared" si="0"/>
        <v>A</v>
      </c>
      <c r="F17" s="4">
        <f>_xlfn.STDEV.S(Data!C17:N17)/AVERAGE(Data!C17:N17)</f>
        <v>0.19341574180358811</v>
      </c>
      <c r="G17" t="str">
        <f t="shared" si="1"/>
        <v>Y</v>
      </c>
      <c r="H17" t="str">
        <f t="shared" si="2"/>
        <v>AY</v>
      </c>
    </row>
    <row r="18" spans="1:8" x14ac:dyDescent="0.2">
      <c r="A18" t="str">
        <f>Data!A18</f>
        <v>SKU-1017</v>
      </c>
      <c r="B18" s="1">
        <f>Data!O18</f>
        <v>701688</v>
      </c>
      <c r="C18" s="4">
        <f>B18/SUM(Data!$O$2:$O$121)</f>
        <v>1.2668288736053992E-2</v>
      </c>
      <c r="D18" s="4">
        <f>SUM($C$2:C18)</f>
        <v>0.13963836138253924</v>
      </c>
      <c r="E18" t="str">
        <f t="shared" si="0"/>
        <v>A</v>
      </c>
      <c r="F18" s="4">
        <f>_xlfn.STDEV.S(Data!C18:N18)/AVERAGE(Data!C18:N18)</f>
        <v>0.24585561546477014</v>
      </c>
      <c r="G18" t="str">
        <f t="shared" si="1"/>
        <v>Y</v>
      </c>
      <c r="H18" t="str">
        <f t="shared" si="2"/>
        <v>AY</v>
      </c>
    </row>
    <row r="19" spans="1:8" x14ac:dyDescent="0.2">
      <c r="A19" t="str">
        <f>Data!A19</f>
        <v>SKU-1018</v>
      </c>
      <c r="B19" s="1">
        <f>Data!O19</f>
        <v>511997</v>
      </c>
      <c r="C19" s="4">
        <f>B19/SUM(Data!$O$2:$O$121)</f>
        <v>9.2436037498053771E-3</v>
      </c>
      <c r="D19" s="4">
        <f>SUM($C$2:C19)</f>
        <v>0.14888196513234461</v>
      </c>
      <c r="E19" t="str">
        <f t="shared" si="0"/>
        <v>A</v>
      </c>
      <c r="F19" s="4">
        <f>_xlfn.STDEV.S(Data!C19:N19)/AVERAGE(Data!C19:N19)</f>
        <v>0.26306545941606074</v>
      </c>
      <c r="G19" t="str">
        <f t="shared" si="1"/>
        <v>Z</v>
      </c>
      <c r="H19" t="str">
        <f t="shared" si="2"/>
        <v>AZ</v>
      </c>
    </row>
    <row r="20" spans="1:8" x14ac:dyDescent="0.2">
      <c r="A20" t="str">
        <f>Data!A20</f>
        <v>SKU-1019</v>
      </c>
      <c r="B20" s="1">
        <f>Data!O20</f>
        <v>284214</v>
      </c>
      <c r="C20" s="4">
        <f>B20/SUM(Data!$O$2:$O$121)</f>
        <v>5.1312050581296094E-3</v>
      </c>
      <c r="D20" s="4">
        <f>SUM($C$2:C20)</f>
        <v>0.15401317019047422</v>
      </c>
      <c r="E20" t="str">
        <f t="shared" si="0"/>
        <v>A</v>
      </c>
      <c r="F20" s="4">
        <f>_xlfn.STDEV.S(Data!C20:N20)/AVERAGE(Data!C20:N20)</f>
        <v>0.23397055932773483</v>
      </c>
      <c r="G20" t="str">
        <f t="shared" si="1"/>
        <v>Y</v>
      </c>
      <c r="H20" t="str">
        <f t="shared" si="2"/>
        <v>AY</v>
      </c>
    </row>
    <row r="21" spans="1:8" x14ac:dyDescent="0.2">
      <c r="A21" t="str">
        <f>Data!A21</f>
        <v>SKU-1020</v>
      </c>
      <c r="B21" s="1">
        <f>Data!O21</f>
        <v>308706</v>
      </c>
      <c r="C21" s="4">
        <f>B21/SUM(Data!$O$2:$O$121)</f>
        <v>5.5733841002728905E-3</v>
      </c>
      <c r="D21" s="4">
        <f>SUM($C$2:C21)</f>
        <v>0.15958655429074711</v>
      </c>
      <c r="E21" t="str">
        <f t="shared" si="0"/>
        <v>A</v>
      </c>
      <c r="F21" s="4">
        <f>_xlfn.STDEV.S(Data!C21:N21)/AVERAGE(Data!C21:N21)</f>
        <v>0.19857541830961406</v>
      </c>
      <c r="G21" t="str">
        <f t="shared" si="1"/>
        <v>Y</v>
      </c>
      <c r="H21" t="str">
        <f t="shared" si="2"/>
        <v>AY</v>
      </c>
    </row>
    <row r="22" spans="1:8" x14ac:dyDescent="0.2">
      <c r="A22" t="str">
        <f>Data!A22</f>
        <v>SKU-1021</v>
      </c>
      <c r="B22" s="1">
        <f>Data!O22</f>
        <v>721979</v>
      </c>
      <c r="C22" s="4">
        <f>B22/SUM(Data!$O$2:$O$121)</f>
        <v>1.3034622842869659E-2</v>
      </c>
      <c r="D22" s="4">
        <f>SUM($C$2:C22)</f>
        <v>0.17262117713361677</v>
      </c>
      <c r="E22" t="str">
        <f t="shared" si="0"/>
        <v>A</v>
      </c>
      <c r="F22" s="4">
        <f>_xlfn.STDEV.S(Data!C22:N22)/AVERAGE(Data!C22:N22)</f>
        <v>0.15720856336393249</v>
      </c>
      <c r="G22" t="str">
        <f t="shared" si="1"/>
        <v>Y</v>
      </c>
      <c r="H22" t="str">
        <f t="shared" si="2"/>
        <v>AY</v>
      </c>
    </row>
    <row r="23" spans="1:8" x14ac:dyDescent="0.2">
      <c r="A23" t="str">
        <f>Data!A23</f>
        <v>SKU-1022</v>
      </c>
      <c r="B23" s="1">
        <f>Data!O23</f>
        <v>307982</v>
      </c>
      <c r="C23" s="4">
        <f>B23/SUM(Data!$O$2:$O$121)</f>
        <v>5.560312990256896E-3</v>
      </c>
      <c r="D23" s="4">
        <f>SUM($C$2:C23)</f>
        <v>0.17818149012387366</v>
      </c>
      <c r="E23" t="str">
        <f t="shared" si="0"/>
        <v>A</v>
      </c>
      <c r="F23" s="4">
        <f>_xlfn.STDEV.S(Data!C23:N23)/AVERAGE(Data!C23:N23)</f>
        <v>0.25022725475102559</v>
      </c>
      <c r="G23" t="str">
        <f t="shared" si="1"/>
        <v>Z</v>
      </c>
      <c r="H23" t="str">
        <f t="shared" si="2"/>
        <v>AZ</v>
      </c>
    </row>
    <row r="24" spans="1:8" x14ac:dyDescent="0.2">
      <c r="A24" t="str">
        <f>Data!A24</f>
        <v>SKU-1023</v>
      </c>
      <c r="B24" s="1">
        <f>Data!O24</f>
        <v>714423</v>
      </c>
      <c r="C24" s="4">
        <f>B24/SUM(Data!$O$2:$O$121)</f>
        <v>1.2898206672592236E-2</v>
      </c>
      <c r="D24" s="4">
        <f>SUM($C$2:C24)</f>
        <v>0.19107969679646589</v>
      </c>
      <c r="E24" t="str">
        <f t="shared" si="0"/>
        <v>A</v>
      </c>
      <c r="F24" s="4">
        <f>_xlfn.STDEV.S(Data!C24:N24)/AVERAGE(Data!C24:N24)</f>
        <v>0.20055083997725193</v>
      </c>
      <c r="G24" t="str">
        <f t="shared" si="1"/>
        <v>Y</v>
      </c>
      <c r="H24" t="str">
        <f t="shared" si="2"/>
        <v>AY</v>
      </c>
    </row>
    <row r="25" spans="1:8" x14ac:dyDescent="0.2">
      <c r="A25" t="str">
        <f>Data!A25</f>
        <v>SKU-1024</v>
      </c>
      <c r="B25" s="1">
        <f>Data!O25</f>
        <v>554756</v>
      </c>
      <c r="C25" s="4">
        <f>B25/SUM(Data!$O$2:$O$121)</f>
        <v>1.0015575563581489E-2</v>
      </c>
      <c r="D25" s="4">
        <f>SUM($C$2:C25)</f>
        <v>0.20109527236004737</v>
      </c>
      <c r="E25" t="str">
        <f t="shared" si="0"/>
        <v>A</v>
      </c>
      <c r="F25" s="4">
        <f>_xlfn.STDEV.S(Data!C25:N25)/AVERAGE(Data!C25:N25)</f>
        <v>0.22407086867803058</v>
      </c>
      <c r="G25" t="str">
        <f t="shared" si="1"/>
        <v>Y</v>
      </c>
      <c r="H25" t="str">
        <f t="shared" si="2"/>
        <v>AY</v>
      </c>
    </row>
    <row r="26" spans="1:8" x14ac:dyDescent="0.2">
      <c r="A26" t="str">
        <f>Data!A26</f>
        <v>SKU-1025</v>
      </c>
      <c r="B26" s="1">
        <f>Data!O26</f>
        <v>726815</v>
      </c>
      <c r="C26" s="4">
        <f>B26/SUM(Data!$O$2:$O$121)</f>
        <v>1.3121932080490306E-2</v>
      </c>
      <c r="D26" s="4">
        <f>SUM($C$2:C26)</f>
        <v>0.21421720444053768</v>
      </c>
      <c r="E26" t="str">
        <f t="shared" si="0"/>
        <v>A</v>
      </c>
      <c r="F26" s="4">
        <f>_xlfn.STDEV.S(Data!C26:N26)/AVERAGE(Data!C26:N26)</f>
        <v>0.23402974249289019</v>
      </c>
      <c r="G26" t="str">
        <f t="shared" si="1"/>
        <v>Y</v>
      </c>
      <c r="H26" t="str">
        <f t="shared" si="2"/>
        <v>AY</v>
      </c>
    </row>
    <row r="27" spans="1:8" x14ac:dyDescent="0.2">
      <c r="A27" t="str">
        <f>Data!A27</f>
        <v>SKU-1026</v>
      </c>
      <c r="B27" s="1">
        <f>Data!O27</f>
        <v>287850</v>
      </c>
      <c r="C27" s="4">
        <f>B27/SUM(Data!$O$2:$O$121)</f>
        <v>5.1968494725193274E-3</v>
      </c>
      <c r="D27" s="4">
        <f>SUM($C$2:C27)</f>
        <v>0.21941405391305702</v>
      </c>
      <c r="E27" t="str">
        <f t="shared" si="0"/>
        <v>A</v>
      </c>
      <c r="F27" s="4">
        <f>_xlfn.STDEV.S(Data!C27:N27)/AVERAGE(Data!C27:N27)</f>
        <v>0.15983424399822962</v>
      </c>
      <c r="G27" t="str">
        <f t="shared" si="1"/>
        <v>Y</v>
      </c>
      <c r="H27" t="str">
        <f t="shared" si="2"/>
        <v>AY</v>
      </c>
    </row>
    <row r="28" spans="1:8" x14ac:dyDescent="0.2">
      <c r="A28" t="str">
        <f>Data!A28</f>
        <v>SKU-1027</v>
      </c>
      <c r="B28" s="1">
        <f>Data!O28</f>
        <v>590466</v>
      </c>
      <c r="C28" s="4">
        <f>B28/SUM(Data!$O$2:$O$121)</f>
        <v>1.0660284594895248E-2</v>
      </c>
      <c r="D28" s="4">
        <f>SUM($C$2:C28)</f>
        <v>0.23007433850795225</v>
      </c>
      <c r="E28" t="str">
        <f t="shared" si="0"/>
        <v>A</v>
      </c>
      <c r="F28" s="4">
        <f>_xlfn.STDEV.S(Data!C28:N28)/AVERAGE(Data!C28:N28)</f>
        <v>0.18635799378505238</v>
      </c>
      <c r="G28" t="str">
        <f t="shared" si="1"/>
        <v>Y</v>
      </c>
      <c r="H28" t="str">
        <f t="shared" si="2"/>
        <v>AY</v>
      </c>
    </row>
    <row r="29" spans="1:8" x14ac:dyDescent="0.2">
      <c r="A29" t="str">
        <f>Data!A29</f>
        <v>SKU-1028</v>
      </c>
      <c r="B29" s="1">
        <f>Data!O29</f>
        <v>364303</v>
      </c>
      <c r="C29" s="4">
        <f>B29/SUM(Data!$O$2:$O$121)</f>
        <v>6.5771334145812346E-3</v>
      </c>
      <c r="D29" s="4">
        <f>SUM($C$2:C29)</f>
        <v>0.2366514719225335</v>
      </c>
      <c r="E29" t="str">
        <f t="shared" si="0"/>
        <v>A</v>
      </c>
      <c r="F29" s="4">
        <f>_xlfn.STDEV.S(Data!C29:N29)/AVERAGE(Data!C29:N29)</f>
        <v>0.20445418840686885</v>
      </c>
      <c r="G29" t="str">
        <f t="shared" si="1"/>
        <v>Y</v>
      </c>
      <c r="H29" t="str">
        <f t="shared" si="2"/>
        <v>AY</v>
      </c>
    </row>
    <row r="30" spans="1:8" x14ac:dyDescent="0.2">
      <c r="A30" t="str">
        <f>Data!A30</f>
        <v>SKU-1029</v>
      </c>
      <c r="B30" s="1">
        <f>Data!O30</f>
        <v>638146</v>
      </c>
      <c r="C30" s="4">
        <f>B30/SUM(Data!$O$2:$O$121)</f>
        <v>1.1521100237937532E-2</v>
      </c>
      <c r="D30" s="4">
        <f>SUM($C$2:C30)</f>
        <v>0.24817257216047103</v>
      </c>
      <c r="E30" t="str">
        <f t="shared" si="0"/>
        <v>A</v>
      </c>
      <c r="F30" s="4">
        <f>_xlfn.STDEV.S(Data!C30:N30)/AVERAGE(Data!C30:N30)</f>
        <v>0.22448459854737865</v>
      </c>
      <c r="G30" t="str">
        <f t="shared" si="1"/>
        <v>Y</v>
      </c>
      <c r="H30" t="str">
        <f t="shared" si="2"/>
        <v>AY</v>
      </c>
    </row>
    <row r="31" spans="1:8" x14ac:dyDescent="0.2">
      <c r="A31" t="str">
        <f>Data!A31</f>
        <v>SKU-1030</v>
      </c>
      <c r="B31" s="1">
        <f>Data!O31</f>
        <v>149706</v>
      </c>
      <c r="C31" s="4">
        <f>B31/SUM(Data!$O$2:$O$121)</f>
        <v>2.7027950221746688E-3</v>
      </c>
      <c r="D31" s="4">
        <f>SUM($C$2:C31)</f>
        <v>0.25087536718264569</v>
      </c>
      <c r="E31" t="str">
        <f t="shared" si="0"/>
        <v>A</v>
      </c>
      <c r="F31" s="4">
        <f>_xlfn.STDEV.S(Data!C31:N31)/AVERAGE(Data!C31:N31)</f>
        <v>0.24545267893645856</v>
      </c>
      <c r="G31" t="str">
        <f t="shared" si="1"/>
        <v>Y</v>
      </c>
      <c r="H31" t="str">
        <f t="shared" si="2"/>
        <v>AY</v>
      </c>
    </row>
    <row r="32" spans="1:8" x14ac:dyDescent="0.2">
      <c r="A32" t="str">
        <f>Data!A32</f>
        <v>SKU-1031</v>
      </c>
      <c r="B32" s="1">
        <f>Data!O32</f>
        <v>324611</v>
      </c>
      <c r="C32" s="4">
        <f>B32/SUM(Data!$O$2:$O$121)</f>
        <v>5.8605332781795074E-3</v>
      </c>
      <c r="D32" s="4">
        <f>SUM($C$2:C32)</f>
        <v>0.25673590046082517</v>
      </c>
      <c r="E32" t="str">
        <f t="shared" si="0"/>
        <v>A</v>
      </c>
      <c r="F32" s="4">
        <f>_xlfn.STDEV.S(Data!C32:N32)/AVERAGE(Data!C32:N32)</f>
        <v>0.26059452974443981</v>
      </c>
      <c r="G32" t="str">
        <f t="shared" si="1"/>
        <v>Z</v>
      </c>
      <c r="H32" t="str">
        <f t="shared" si="2"/>
        <v>AZ</v>
      </c>
    </row>
    <row r="33" spans="1:8" x14ac:dyDescent="0.2">
      <c r="A33" t="str">
        <f>Data!A33</f>
        <v>SKU-1032</v>
      </c>
      <c r="B33" s="1">
        <f>Data!O33</f>
        <v>664063</v>
      </c>
      <c r="C33" s="4">
        <f>B33/SUM(Data!$O$2:$O$121)</f>
        <v>1.1989006257667542E-2</v>
      </c>
      <c r="D33" s="4">
        <f>SUM($C$2:C33)</f>
        <v>0.2687249067184927</v>
      </c>
      <c r="E33" t="str">
        <f t="shared" si="0"/>
        <v>A</v>
      </c>
      <c r="F33" s="4">
        <f>_xlfn.STDEV.S(Data!C33:N33)/AVERAGE(Data!C33:N33)</f>
        <v>0.19074495959235674</v>
      </c>
      <c r="G33" t="str">
        <f t="shared" si="1"/>
        <v>Y</v>
      </c>
      <c r="H33" t="str">
        <f t="shared" si="2"/>
        <v>AY</v>
      </c>
    </row>
    <row r="34" spans="1:8" x14ac:dyDescent="0.2">
      <c r="A34" t="str">
        <f>Data!A34</f>
        <v>SKU-1033</v>
      </c>
      <c r="B34" s="1">
        <f>Data!O34</f>
        <v>472328</v>
      </c>
      <c r="C34" s="4">
        <f>B34/SUM(Data!$O$2:$O$121)</f>
        <v>8.5274188558489093E-3</v>
      </c>
      <c r="D34" s="4">
        <f>SUM($C$2:C34)</f>
        <v>0.2772523255743416</v>
      </c>
      <c r="E34" t="str">
        <f t="shared" si="0"/>
        <v>A</v>
      </c>
      <c r="F34" s="4">
        <f>_xlfn.STDEV.S(Data!C34:N34)/AVERAGE(Data!C34:N34)</f>
        <v>0.23564896220000733</v>
      </c>
      <c r="G34" t="str">
        <f t="shared" si="1"/>
        <v>Y</v>
      </c>
      <c r="H34" t="str">
        <f t="shared" si="2"/>
        <v>AY</v>
      </c>
    </row>
    <row r="35" spans="1:8" x14ac:dyDescent="0.2">
      <c r="A35" t="str">
        <f>Data!A35</f>
        <v>SKU-1034</v>
      </c>
      <c r="B35" s="1">
        <f>Data!O35</f>
        <v>625067</v>
      </c>
      <c r="C35" s="4">
        <f>B35/SUM(Data!$O$2:$O$121)</f>
        <v>1.1284971718739755E-2</v>
      </c>
      <c r="D35" s="4">
        <f>SUM($C$2:C35)</f>
        <v>0.28853729729308136</v>
      </c>
      <c r="E35" t="str">
        <f t="shared" si="0"/>
        <v>A</v>
      </c>
      <c r="F35" s="4">
        <f>_xlfn.STDEV.S(Data!C35:N35)/AVERAGE(Data!C35:N35)</f>
        <v>0.19232124914307616</v>
      </c>
      <c r="G35" t="str">
        <f t="shared" si="1"/>
        <v>Y</v>
      </c>
      <c r="H35" t="str">
        <f t="shared" si="2"/>
        <v>AY</v>
      </c>
    </row>
    <row r="36" spans="1:8" x14ac:dyDescent="0.2">
      <c r="A36" t="str">
        <f>Data!A36</f>
        <v>SKU-1035</v>
      </c>
      <c r="B36" s="1">
        <f>Data!O36</f>
        <v>343280</v>
      </c>
      <c r="C36" s="4">
        <f>B36/SUM(Data!$O$2:$O$121)</f>
        <v>6.1975837655947009E-3</v>
      </c>
      <c r="D36" s="4">
        <f>SUM($C$2:C36)</f>
        <v>0.29473488105867607</v>
      </c>
      <c r="E36" t="str">
        <f t="shared" si="0"/>
        <v>A</v>
      </c>
      <c r="F36" s="4">
        <f>_xlfn.STDEV.S(Data!C36:N36)/AVERAGE(Data!C36:N36)</f>
        <v>0.24338896805651061</v>
      </c>
      <c r="G36" t="str">
        <f t="shared" si="1"/>
        <v>Y</v>
      </c>
      <c r="H36" t="str">
        <f t="shared" si="2"/>
        <v>AY</v>
      </c>
    </row>
    <row r="37" spans="1:8" x14ac:dyDescent="0.2">
      <c r="A37" t="str">
        <f>Data!A37</f>
        <v>SKU-1036</v>
      </c>
      <c r="B37" s="1">
        <f>Data!O37</f>
        <v>359286</v>
      </c>
      <c r="C37" s="4">
        <f>B37/SUM(Data!$O$2:$O$121)</f>
        <v>6.4865563994565886E-3</v>
      </c>
      <c r="D37" s="4">
        <f>SUM($C$2:C37)</f>
        <v>0.30122143745813268</v>
      </c>
      <c r="E37" t="str">
        <f t="shared" si="0"/>
        <v>A</v>
      </c>
      <c r="F37" s="4">
        <f>_xlfn.STDEV.S(Data!C37:N37)/AVERAGE(Data!C37:N37)</f>
        <v>0.23711216601111196</v>
      </c>
      <c r="G37" t="str">
        <f t="shared" si="1"/>
        <v>Y</v>
      </c>
      <c r="H37" t="str">
        <f t="shared" si="2"/>
        <v>AY</v>
      </c>
    </row>
    <row r="38" spans="1:8" x14ac:dyDescent="0.2">
      <c r="A38" t="str">
        <f>Data!A38</f>
        <v>SKU-1037</v>
      </c>
      <c r="B38" s="1">
        <f>Data!O38</f>
        <v>472506</v>
      </c>
      <c r="C38" s="4">
        <f>B38/SUM(Data!$O$2:$O$121)</f>
        <v>8.5306324712948311E-3</v>
      </c>
      <c r="D38" s="4">
        <f>SUM($C$2:C38)</f>
        <v>0.3097520699294275</v>
      </c>
      <c r="E38" t="str">
        <f t="shared" si="0"/>
        <v>A</v>
      </c>
      <c r="F38" s="4">
        <f>_xlfn.STDEV.S(Data!C38:N38)/AVERAGE(Data!C38:N38)</f>
        <v>0.22042341315807013</v>
      </c>
      <c r="G38" t="str">
        <f t="shared" si="1"/>
        <v>Y</v>
      </c>
      <c r="H38" t="str">
        <f t="shared" si="2"/>
        <v>AY</v>
      </c>
    </row>
    <row r="39" spans="1:8" x14ac:dyDescent="0.2">
      <c r="A39" t="str">
        <f>Data!A39</f>
        <v>SKU-1038</v>
      </c>
      <c r="B39" s="1">
        <f>Data!O39</f>
        <v>247939</v>
      </c>
      <c r="C39" s="4">
        <f>B39/SUM(Data!$O$2:$O$121)</f>
        <v>4.4762955058779558E-3</v>
      </c>
      <c r="D39" s="4">
        <f>SUM($C$2:C39)</f>
        <v>0.31422836543530547</v>
      </c>
      <c r="E39" t="str">
        <f t="shared" si="0"/>
        <v>A</v>
      </c>
      <c r="F39" s="4">
        <f>_xlfn.STDEV.S(Data!C39:N39)/AVERAGE(Data!C39:N39)</f>
        <v>0.22763555157306081</v>
      </c>
      <c r="G39" t="str">
        <f t="shared" si="1"/>
        <v>Y</v>
      </c>
      <c r="H39" t="str">
        <f t="shared" si="2"/>
        <v>AY</v>
      </c>
    </row>
    <row r="40" spans="1:8" x14ac:dyDescent="0.2">
      <c r="A40" t="str">
        <f>Data!A40</f>
        <v>SKU-1039</v>
      </c>
      <c r="B40" s="1">
        <f>Data!O40</f>
        <v>666476</v>
      </c>
      <c r="C40" s="4">
        <f>B40/SUM(Data!$O$2:$O$121)</f>
        <v>1.203257060638107E-2</v>
      </c>
      <c r="D40" s="4">
        <f>SUM($C$2:C40)</f>
        <v>0.32626093604168654</v>
      </c>
      <c r="E40" t="str">
        <f t="shared" si="0"/>
        <v>A</v>
      </c>
      <c r="F40" s="4">
        <f>_xlfn.STDEV.S(Data!C40:N40)/AVERAGE(Data!C40:N40)</f>
        <v>0.20808638162822712</v>
      </c>
      <c r="G40" t="str">
        <f t="shared" si="1"/>
        <v>Y</v>
      </c>
      <c r="H40" t="str">
        <f t="shared" si="2"/>
        <v>AY</v>
      </c>
    </row>
    <row r="41" spans="1:8" x14ac:dyDescent="0.2">
      <c r="A41" t="str">
        <f>Data!A41</f>
        <v>SKU-1040</v>
      </c>
      <c r="B41" s="1">
        <f>Data!O41</f>
        <v>783442</v>
      </c>
      <c r="C41" s="4">
        <f>B41/SUM(Data!$O$2:$O$121)</f>
        <v>1.4144277034738533E-2</v>
      </c>
      <c r="D41" s="4">
        <f>SUM($C$2:C41)</f>
        <v>0.34040521307642507</v>
      </c>
      <c r="E41" t="str">
        <f t="shared" si="0"/>
        <v>A</v>
      </c>
      <c r="F41" s="4">
        <f>_xlfn.STDEV.S(Data!C41:N41)/AVERAGE(Data!C41:N41)</f>
        <v>0.24016915667578934</v>
      </c>
      <c r="G41" t="str">
        <f t="shared" si="1"/>
        <v>Y</v>
      </c>
      <c r="H41" t="str">
        <f t="shared" si="2"/>
        <v>AY</v>
      </c>
    </row>
    <row r="42" spans="1:8" x14ac:dyDescent="0.2">
      <c r="A42" t="str">
        <f>Data!A42</f>
        <v>SKU-1041</v>
      </c>
      <c r="B42" s="1">
        <f>Data!O42</f>
        <v>408443</v>
      </c>
      <c r="C42" s="4">
        <f>B42/SUM(Data!$O$2:$O$121)</f>
        <v>7.3740378290922757E-3</v>
      </c>
      <c r="D42" s="4">
        <f>SUM($C$2:C42)</f>
        <v>0.34777925090551737</v>
      </c>
      <c r="E42" t="str">
        <f t="shared" si="0"/>
        <v>A</v>
      </c>
      <c r="F42" s="4">
        <f>_xlfn.STDEV.S(Data!C42:N42)/AVERAGE(Data!C42:N42)</f>
        <v>0.22015029861581792</v>
      </c>
      <c r="G42" t="str">
        <f t="shared" si="1"/>
        <v>Y</v>
      </c>
      <c r="H42" t="str">
        <f t="shared" si="2"/>
        <v>AY</v>
      </c>
    </row>
    <row r="43" spans="1:8" x14ac:dyDescent="0.2">
      <c r="A43" t="str">
        <f>Data!A43</f>
        <v>SKU-1042</v>
      </c>
      <c r="B43" s="1">
        <f>Data!O43</f>
        <v>130021</v>
      </c>
      <c r="C43" s="4">
        <f>B43/SUM(Data!$O$2:$O$121)</f>
        <v>2.3474016510906218E-3</v>
      </c>
      <c r="D43" s="4">
        <f>SUM($C$2:C43)</f>
        <v>0.35012665255660796</v>
      </c>
      <c r="E43" t="str">
        <f t="shared" si="0"/>
        <v>A</v>
      </c>
      <c r="F43" s="4">
        <f>_xlfn.STDEV.S(Data!C43:N43)/AVERAGE(Data!C43:N43)</f>
        <v>0.1803375848636492</v>
      </c>
      <c r="G43" t="str">
        <f t="shared" si="1"/>
        <v>Y</v>
      </c>
      <c r="H43" t="str">
        <f t="shared" si="2"/>
        <v>AY</v>
      </c>
    </row>
    <row r="44" spans="1:8" x14ac:dyDescent="0.2">
      <c r="A44" t="str">
        <f>Data!A44</f>
        <v>SKU-1043</v>
      </c>
      <c r="B44" s="1">
        <f>Data!O44</f>
        <v>694675</v>
      </c>
      <c r="C44" s="4">
        <f>B44/SUM(Data!$O$2:$O$121)</f>
        <v>1.2541675898288565E-2</v>
      </c>
      <c r="D44" s="4">
        <f>SUM($C$2:C44)</f>
        <v>0.36266832845489655</v>
      </c>
      <c r="E44" t="str">
        <f t="shared" si="0"/>
        <v>A</v>
      </c>
      <c r="F44" s="4">
        <f>_xlfn.STDEV.S(Data!C44:N44)/AVERAGE(Data!C44:N44)</f>
        <v>0.19792656740313389</v>
      </c>
      <c r="G44" t="str">
        <f t="shared" si="1"/>
        <v>Y</v>
      </c>
      <c r="H44" t="str">
        <f t="shared" si="2"/>
        <v>AY</v>
      </c>
    </row>
    <row r="45" spans="1:8" x14ac:dyDescent="0.2">
      <c r="A45" t="str">
        <f>Data!A45</f>
        <v>SKU-1044</v>
      </c>
      <c r="B45" s="1">
        <f>Data!O45</f>
        <v>433311</v>
      </c>
      <c r="C45" s="4">
        <f>B45/SUM(Data!$O$2:$O$121)</f>
        <v>7.8230051825145808E-3</v>
      </c>
      <c r="D45" s="4">
        <f>SUM($C$2:C45)</f>
        <v>0.37049133363741116</v>
      </c>
      <c r="E45" t="str">
        <f t="shared" si="0"/>
        <v>A</v>
      </c>
      <c r="F45" s="4">
        <f>_xlfn.STDEV.S(Data!C45:N45)/AVERAGE(Data!C45:N45)</f>
        <v>0.2254127416664225</v>
      </c>
      <c r="G45" t="str">
        <f t="shared" si="1"/>
        <v>Y</v>
      </c>
      <c r="H45" t="str">
        <f t="shared" si="2"/>
        <v>AY</v>
      </c>
    </row>
    <row r="46" spans="1:8" x14ac:dyDescent="0.2">
      <c r="A46" t="str">
        <f>Data!A46</f>
        <v>SKU-1045</v>
      </c>
      <c r="B46" s="1">
        <f>Data!O46</f>
        <v>113426</v>
      </c>
      <c r="C46" s="4">
        <f>B46/SUM(Data!$O$2:$O$121)</f>
        <v>2.0477951998262192E-3</v>
      </c>
      <c r="D46" s="4">
        <f>SUM($C$2:C46)</f>
        <v>0.37253912883723739</v>
      </c>
      <c r="E46" t="str">
        <f t="shared" si="0"/>
        <v>A</v>
      </c>
      <c r="F46" s="4">
        <f>_xlfn.STDEV.S(Data!C46:N46)/AVERAGE(Data!C46:N46)</f>
        <v>0.16657771482477621</v>
      </c>
      <c r="G46" t="str">
        <f t="shared" si="1"/>
        <v>Y</v>
      </c>
      <c r="H46" t="str">
        <f t="shared" si="2"/>
        <v>AY</v>
      </c>
    </row>
    <row r="47" spans="1:8" x14ac:dyDescent="0.2">
      <c r="A47" t="str">
        <f>Data!A47</f>
        <v>SKU-1046</v>
      </c>
      <c r="B47" s="1">
        <f>Data!O47</f>
        <v>696596</v>
      </c>
      <c r="C47" s="4">
        <f>B47/SUM(Data!$O$2:$O$121)</f>
        <v>1.2576357669477413E-2</v>
      </c>
      <c r="D47" s="4">
        <f>SUM($C$2:C47)</f>
        <v>0.38511548650671479</v>
      </c>
      <c r="E47" t="str">
        <f t="shared" si="0"/>
        <v>A</v>
      </c>
      <c r="F47" s="4">
        <f>_xlfn.STDEV.S(Data!C47:N47)/AVERAGE(Data!C47:N47)</f>
        <v>0.24654532646385074</v>
      </c>
      <c r="G47" t="str">
        <f t="shared" si="1"/>
        <v>Y</v>
      </c>
      <c r="H47" t="str">
        <f t="shared" si="2"/>
        <v>AY</v>
      </c>
    </row>
    <row r="48" spans="1:8" x14ac:dyDescent="0.2">
      <c r="A48" t="str">
        <f>Data!A48</f>
        <v>SKU-1047</v>
      </c>
      <c r="B48" s="1">
        <f>Data!O48</f>
        <v>839215</v>
      </c>
      <c r="C48" s="4">
        <f>B48/SUM(Data!$O$2:$O$121)</f>
        <v>1.5151203856454082E-2</v>
      </c>
      <c r="D48" s="4">
        <f>SUM($C$2:C48)</f>
        <v>0.40026669036316886</v>
      </c>
      <c r="E48" t="str">
        <f t="shared" si="0"/>
        <v>A</v>
      </c>
      <c r="F48" s="4">
        <f>_xlfn.STDEV.S(Data!C48:N48)/AVERAGE(Data!C48:N48)</f>
        <v>0.21707712800396597</v>
      </c>
      <c r="G48" t="str">
        <f t="shared" si="1"/>
        <v>Y</v>
      </c>
      <c r="H48" t="str">
        <f t="shared" si="2"/>
        <v>AY</v>
      </c>
    </row>
    <row r="49" spans="1:8" x14ac:dyDescent="0.2">
      <c r="A49" t="str">
        <f>Data!A49</f>
        <v>SKU-1048</v>
      </c>
      <c r="B49" s="1">
        <f>Data!O49</f>
        <v>278461</v>
      </c>
      <c r="C49" s="4">
        <f>B49/SUM(Data!$O$2:$O$121)</f>
        <v>5.0273402847566592E-3</v>
      </c>
      <c r="D49" s="4">
        <f>SUM($C$2:C49)</f>
        <v>0.40529403064792552</v>
      </c>
      <c r="E49" t="str">
        <f t="shared" si="0"/>
        <v>A</v>
      </c>
      <c r="F49" s="4">
        <f>_xlfn.STDEV.S(Data!C49:N49)/AVERAGE(Data!C49:N49)</f>
        <v>0.17945938697096997</v>
      </c>
      <c r="G49" t="str">
        <f t="shared" si="1"/>
        <v>Y</v>
      </c>
      <c r="H49" t="str">
        <f t="shared" si="2"/>
        <v>AY</v>
      </c>
    </row>
    <row r="50" spans="1:8" x14ac:dyDescent="0.2">
      <c r="A50" t="str">
        <f>Data!A50</f>
        <v>SKU-1049</v>
      </c>
      <c r="B50" s="1">
        <f>Data!O50</f>
        <v>357630</v>
      </c>
      <c r="C50" s="4">
        <f>B50/SUM(Data!$O$2:$O$121)</f>
        <v>6.4566589433979055E-3</v>
      </c>
      <c r="D50" s="4">
        <f>SUM($C$2:C50)</f>
        <v>0.41175068959132344</v>
      </c>
      <c r="E50" t="str">
        <f t="shared" si="0"/>
        <v>A</v>
      </c>
      <c r="F50" s="4">
        <f>_xlfn.STDEV.S(Data!C50:N50)/AVERAGE(Data!C50:N50)</f>
        <v>0.18583927939292791</v>
      </c>
      <c r="G50" t="str">
        <f t="shared" si="1"/>
        <v>Y</v>
      </c>
      <c r="H50" t="str">
        <f t="shared" si="2"/>
        <v>AY</v>
      </c>
    </row>
    <row r="51" spans="1:8" x14ac:dyDescent="0.2">
      <c r="A51" t="str">
        <f>Data!A51</f>
        <v>SKU-1050</v>
      </c>
      <c r="B51" s="1">
        <f>Data!O51</f>
        <v>460594</v>
      </c>
      <c r="C51" s="4">
        <f>B51/SUM(Data!$O$2:$O$121)</f>
        <v>8.3155729926891325E-3</v>
      </c>
      <c r="D51" s="4">
        <f>SUM($C$2:C51)</f>
        <v>0.42006626258401258</v>
      </c>
      <c r="E51" t="str">
        <f t="shared" si="0"/>
        <v>A</v>
      </c>
      <c r="F51" s="4">
        <f>_xlfn.STDEV.S(Data!C51:N51)/AVERAGE(Data!C51:N51)</f>
        <v>0.18871910036903353</v>
      </c>
      <c r="G51" t="str">
        <f t="shared" si="1"/>
        <v>Y</v>
      </c>
      <c r="H51" t="str">
        <f t="shared" si="2"/>
        <v>AY</v>
      </c>
    </row>
    <row r="52" spans="1:8" x14ac:dyDescent="0.2">
      <c r="A52" t="str">
        <f>Data!A52</f>
        <v>SKU-1051</v>
      </c>
      <c r="B52" s="1">
        <f>Data!O52</f>
        <v>745938</v>
      </c>
      <c r="C52" s="4">
        <f>B52/SUM(Data!$O$2:$O$121)</f>
        <v>1.3467179092694535E-2</v>
      </c>
      <c r="D52" s="4">
        <f>SUM($C$2:C52)</f>
        <v>0.4335334416767071</v>
      </c>
      <c r="E52" t="str">
        <f t="shared" si="0"/>
        <v>A</v>
      </c>
      <c r="F52" s="4">
        <f>_xlfn.STDEV.S(Data!C52:N52)/AVERAGE(Data!C52:N52)</f>
        <v>0.14266107450579815</v>
      </c>
      <c r="G52" t="str">
        <f t="shared" si="1"/>
        <v>Y</v>
      </c>
      <c r="H52" t="str">
        <f t="shared" si="2"/>
        <v>AY</v>
      </c>
    </row>
    <row r="53" spans="1:8" x14ac:dyDescent="0.2">
      <c r="A53" t="str">
        <f>Data!A53</f>
        <v>SKU-1052</v>
      </c>
      <c r="B53" s="1">
        <f>Data!O53</f>
        <v>676633</v>
      </c>
      <c r="C53" s="4">
        <f>B53/SUM(Data!$O$2:$O$121)</f>
        <v>1.2215945281011534E-2</v>
      </c>
      <c r="D53" s="4">
        <f>SUM($C$2:C53)</f>
        <v>0.44574938695771865</v>
      </c>
      <c r="E53" t="str">
        <f t="shared" si="0"/>
        <v>A</v>
      </c>
      <c r="F53" s="4">
        <f>_xlfn.STDEV.S(Data!C53:N53)/AVERAGE(Data!C53:N53)</f>
        <v>0.27585679878464542</v>
      </c>
      <c r="G53" t="str">
        <f t="shared" si="1"/>
        <v>Z</v>
      </c>
      <c r="H53" t="str">
        <f t="shared" si="2"/>
        <v>AZ</v>
      </c>
    </row>
    <row r="54" spans="1:8" x14ac:dyDescent="0.2">
      <c r="A54" t="str">
        <f>Data!A54</f>
        <v>SKU-1053</v>
      </c>
      <c r="B54" s="1">
        <f>Data!O54</f>
        <v>720249</v>
      </c>
      <c r="C54" s="4">
        <f>B54/SUM(Data!$O$2:$O$121)</f>
        <v>1.3003389389378402E-2</v>
      </c>
      <c r="D54" s="4">
        <f>SUM($C$2:C54)</f>
        <v>0.45875277634709705</v>
      </c>
      <c r="E54" t="str">
        <f t="shared" si="0"/>
        <v>A</v>
      </c>
      <c r="F54" s="4">
        <f>_xlfn.STDEV.S(Data!C54:N54)/AVERAGE(Data!C54:N54)</f>
        <v>0.21161078063951222</v>
      </c>
      <c r="G54" t="str">
        <f t="shared" si="1"/>
        <v>Y</v>
      </c>
      <c r="H54" t="str">
        <f t="shared" si="2"/>
        <v>AY</v>
      </c>
    </row>
    <row r="55" spans="1:8" x14ac:dyDescent="0.2">
      <c r="A55" t="str">
        <f>Data!A55</f>
        <v>SKU-1054</v>
      </c>
      <c r="B55" s="1">
        <f>Data!O55</f>
        <v>209071</v>
      </c>
      <c r="C55" s="4">
        <f>B55/SUM(Data!$O$2:$O$121)</f>
        <v>3.7745718814281336E-3</v>
      </c>
      <c r="D55" s="4">
        <f>SUM($C$2:C55)</f>
        <v>0.4625273482285252</v>
      </c>
      <c r="E55" t="str">
        <f t="shared" si="0"/>
        <v>A</v>
      </c>
      <c r="F55" s="4">
        <f>_xlfn.STDEV.S(Data!C55:N55)/AVERAGE(Data!C55:N55)</f>
        <v>0.25306687371928371</v>
      </c>
      <c r="G55" t="str">
        <f t="shared" si="1"/>
        <v>Z</v>
      </c>
      <c r="H55" t="str">
        <f t="shared" si="2"/>
        <v>AZ</v>
      </c>
    </row>
    <row r="56" spans="1:8" x14ac:dyDescent="0.2">
      <c r="A56" t="str">
        <f>Data!A56</f>
        <v>SKU-1055</v>
      </c>
      <c r="B56" s="1">
        <f>Data!O56</f>
        <v>438495</v>
      </c>
      <c r="C56" s="4">
        <f>B56/SUM(Data!$O$2:$O$121)</f>
        <v>7.9165972188721991E-3</v>
      </c>
      <c r="D56" s="4">
        <f>SUM($C$2:C56)</f>
        <v>0.47044394544739743</v>
      </c>
      <c r="E56" t="str">
        <f t="shared" si="0"/>
        <v>A</v>
      </c>
      <c r="F56" s="4">
        <f>_xlfn.STDEV.S(Data!C56:N56)/AVERAGE(Data!C56:N56)</f>
        <v>0.23190309780030594</v>
      </c>
      <c r="G56" t="str">
        <f t="shared" si="1"/>
        <v>Y</v>
      </c>
      <c r="H56" t="str">
        <f t="shared" si="2"/>
        <v>AY</v>
      </c>
    </row>
    <row r="57" spans="1:8" x14ac:dyDescent="0.2">
      <c r="A57" t="str">
        <f>Data!A57</f>
        <v>SKU-1056</v>
      </c>
      <c r="B57" s="1">
        <f>Data!O57</f>
        <v>753903</v>
      </c>
      <c r="C57" s="4">
        <f>B57/SUM(Data!$O$2:$O$121)</f>
        <v>1.3610979356889832E-2</v>
      </c>
      <c r="D57" s="4">
        <f>SUM($C$2:C57)</f>
        <v>0.48405492480428725</v>
      </c>
      <c r="E57" t="str">
        <f t="shared" si="0"/>
        <v>A</v>
      </c>
      <c r="F57" s="4">
        <f>_xlfn.STDEV.S(Data!C57:N57)/AVERAGE(Data!C57:N57)</f>
        <v>0.22834619746874948</v>
      </c>
      <c r="G57" t="str">
        <f t="shared" si="1"/>
        <v>Y</v>
      </c>
      <c r="H57" t="str">
        <f t="shared" si="2"/>
        <v>AY</v>
      </c>
    </row>
    <row r="58" spans="1:8" x14ac:dyDescent="0.2">
      <c r="A58" t="str">
        <f>Data!A58</f>
        <v>SKU-1057</v>
      </c>
      <c r="B58" s="1">
        <f>Data!O58</f>
        <v>781886</v>
      </c>
      <c r="C58" s="4">
        <f>B58/SUM(Data!$O$2:$O$121)</f>
        <v>1.4116184980615761E-2</v>
      </c>
      <c r="D58" s="4">
        <f>SUM($C$2:C58)</f>
        <v>0.49817110978490303</v>
      </c>
      <c r="E58" t="str">
        <f t="shared" si="0"/>
        <v>A</v>
      </c>
      <c r="F58" s="4">
        <f>_xlfn.STDEV.S(Data!C58:N58)/AVERAGE(Data!C58:N58)</f>
        <v>0.18502058224071449</v>
      </c>
      <c r="G58" t="str">
        <f t="shared" si="1"/>
        <v>Y</v>
      </c>
      <c r="H58" t="str">
        <f t="shared" si="2"/>
        <v>AY</v>
      </c>
    </row>
    <row r="59" spans="1:8" x14ac:dyDescent="0.2">
      <c r="A59" t="str">
        <f>Data!A59</f>
        <v>SKU-1058</v>
      </c>
      <c r="B59" s="1">
        <f>Data!O59</f>
        <v>238305</v>
      </c>
      <c r="C59" s="4">
        <f>B59/SUM(Data!$O$2:$O$121)</f>
        <v>4.3023630833723056E-3</v>
      </c>
      <c r="D59" s="4">
        <f>SUM($C$2:C59)</f>
        <v>0.50247347286827537</v>
      </c>
      <c r="E59" t="str">
        <f t="shared" si="0"/>
        <v>A</v>
      </c>
      <c r="F59" s="4">
        <f>_xlfn.STDEV.S(Data!C59:N59)/AVERAGE(Data!C59:N59)</f>
        <v>0.20826172146332569</v>
      </c>
      <c r="G59" t="str">
        <f t="shared" si="1"/>
        <v>Y</v>
      </c>
      <c r="H59" t="str">
        <f t="shared" si="2"/>
        <v>AY</v>
      </c>
    </row>
    <row r="60" spans="1:8" x14ac:dyDescent="0.2">
      <c r="A60" t="str">
        <f>Data!A60</f>
        <v>SKU-1059</v>
      </c>
      <c r="B60" s="1">
        <f>Data!O60</f>
        <v>130204</v>
      </c>
      <c r="C60" s="4">
        <f>B60/SUM(Data!$O$2:$O$121)</f>
        <v>2.3507055366333383E-3</v>
      </c>
      <c r="D60" s="4">
        <f>SUM($C$2:C60)</f>
        <v>0.50482417840490867</v>
      </c>
      <c r="E60" t="str">
        <f t="shared" si="0"/>
        <v>A</v>
      </c>
      <c r="F60" s="4">
        <f>_xlfn.STDEV.S(Data!C60:N60)/AVERAGE(Data!C60:N60)</f>
        <v>0.19807828375194331</v>
      </c>
      <c r="G60" t="str">
        <f t="shared" si="1"/>
        <v>Y</v>
      </c>
      <c r="H60" t="str">
        <f t="shared" si="2"/>
        <v>AY</v>
      </c>
    </row>
    <row r="61" spans="1:8" x14ac:dyDescent="0.2">
      <c r="A61" t="str">
        <f>Data!A61</f>
        <v>SKU-1060</v>
      </c>
      <c r="B61" s="1">
        <f>Data!O61</f>
        <v>485137</v>
      </c>
      <c r="C61" s="4">
        <f>B61/SUM(Data!$O$2:$O$121)</f>
        <v>8.758672789819729E-3</v>
      </c>
      <c r="D61" s="4">
        <f>SUM($C$2:C61)</f>
        <v>0.51358285119472835</v>
      </c>
      <c r="E61" t="str">
        <f t="shared" si="0"/>
        <v>A</v>
      </c>
      <c r="F61" s="4">
        <f>_xlfn.STDEV.S(Data!C61:N61)/AVERAGE(Data!C61:N61)</f>
        <v>0.24789998642582778</v>
      </c>
      <c r="G61" t="str">
        <f t="shared" si="1"/>
        <v>Y</v>
      </c>
      <c r="H61" t="str">
        <f t="shared" si="2"/>
        <v>AY</v>
      </c>
    </row>
    <row r="62" spans="1:8" x14ac:dyDescent="0.2">
      <c r="A62" t="str">
        <f>Data!A62</f>
        <v>SKU-1061</v>
      </c>
      <c r="B62" s="1">
        <f>Data!O62</f>
        <v>477743</v>
      </c>
      <c r="C62" s="4">
        <f>B62/SUM(Data!$O$2:$O$121)</f>
        <v>8.6251813706784818E-3</v>
      </c>
      <c r="D62" s="4">
        <f>SUM($C$2:C62)</f>
        <v>0.52220803256540682</v>
      </c>
      <c r="E62" t="str">
        <f t="shared" si="0"/>
        <v>A</v>
      </c>
      <c r="F62" s="4">
        <f>_xlfn.STDEV.S(Data!C62:N62)/AVERAGE(Data!C62:N62)</f>
        <v>0.24701942209630692</v>
      </c>
      <c r="G62" t="str">
        <f t="shared" si="1"/>
        <v>Y</v>
      </c>
      <c r="H62" t="str">
        <f t="shared" si="2"/>
        <v>AY</v>
      </c>
    </row>
    <row r="63" spans="1:8" x14ac:dyDescent="0.2">
      <c r="A63" t="str">
        <f>Data!A63</f>
        <v>SKU-1062</v>
      </c>
      <c r="B63" s="1">
        <f>Data!O63</f>
        <v>274401</v>
      </c>
      <c r="C63" s="4">
        <f>B63/SUM(Data!$O$2:$O$121)</f>
        <v>4.9540409661586798E-3</v>
      </c>
      <c r="D63" s="4">
        <f>SUM($C$2:C63)</f>
        <v>0.52716207353156552</v>
      </c>
      <c r="E63" t="str">
        <f t="shared" si="0"/>
        <v>A</v>
      </c>
      <c r="F63" s="4">
        <f>_xlfn.STDEV.S(Data!C63:N63)/AVERAGE(Data!C63:N63)</f>
        <v>0.20540771754217224</v>
      </c>
      <c r="G63" t="str">
        <f t="shared" si="1"/>
        <v>Y</v>
      </c>
      <c r="H63" t="str">
        <f t="shared" si="2"/>
        <v>AY</v>
      </c>
    </row>
    <row r="64" spans="1:8" x14ac:dyDescent="0.2">
      <c r="A64" t="str">
        <f>Data!A64</f>
        <v>SKU-1063</v>
      </c>
      <c r="B64" s="1">
        <f>Data!O64</f>
        <v>819152</v>
      </c>
      <c r="C64" s="4">
        <f>B64/SUM(Data!$O$2:$O$121)</f>
        <v>1.4788986066052291E-2</v>
      </c>
      <c r="D64" s="4">
        <f>SUM($C$2:C64)</f>
        <v>0.5419510595976178</v>
      </c>
      <c r="E64" t="str">
        <f t="shared" si="0"/>
        <v>A</v>
      </c>
      <c r="F64" s="4">
        <f>_xlfn.STDEV.S(Data!C64:N64)/AVERAGE(Data!C64:N64)</f>
        <v>0.20239322559064585</v>
      </c>
      <c r="G64" t="str">
        <f t="shared" si="1"/>
        <v>Y</v>
      </c>
      <c r="H64" t="str">
        <f t="shared" si="2"/>
        <v>AY</v>
      </c>
    </row>
    <row r="65" spans="1:8" x14ac:dyDescent="0.2">
      <c r="A65" t="str">
        <f>Data!A65</f>
        <v>SKU-1064</v>
      </c>
      <c r="B65" s="1">
        <f>Data!O65</f>
        <v>100651</v>
      </c>
      <c r="C65" s="4">
        <f>B65/SUM(Data!$O$2:$O$121)</f>
        <v>1.8171551025136107E-3</v>
      </c>
      <c r="D65" s="4">
        <f>SUM($C$2:C65)</f>
        <v>0.54376821470013137</v>
      </c>
      <c r="E65" t="str">
        <f t="shared" si="0"/>
        <v>A</v>
      </c>
      <c r="F65" s="4">
        <f>_xlfn.STDEV.S(Data!C65:N65)/AVERAGE(Data!C65:N65)</f>
        <v>0.21411852832046538</v>
      </c>
      <c r="G65" t="str">
        <f t="shared" si="1"/>
        <v>Y</v>
      </c>
      <c r="H65" t="str">
        <f t="shared" si="2"/>
        <v>AY</v>
      </c>
    </row>
    <row r="66" spans="1:8" x14ac:dyDescent="0.2">
      <c r="A66" t="str">
        <f>Data!A66</f>
        <v>SKU-1065</v>
      </c>
      <c r="B66" s="1">
        <f>Data!O66</f>
        <v>648070</v>
      </c>
      <c r="C66" s="4">
        <f>B66/SUM(Data!$O$2:$O$121)</f>
        <v>1.1700268326057323E-2</v>
      </c>
      <c r="D66" s="4">
        <f>SUM($C$2:C66)</f>
        <v>0.55546848302618868</v>
      </c>
      <c r="E66" t="str">
        <f t="shared" si="0"/>
        <v>A</v>
      </c>
      <c r="F66" s="4">
        <f>_xlfn.STDEV.S(Data!C66:N66)/AVERAGE(Data!C66:N66)</f>
        <v>0.2553677265434659</v>
      </c>
      <c r="G66" t="str">
        <f t="shared" si="1"/>
        <v>Z</v>
      </c>
      <c r="H66" t="str">
        <f t="shared" si="2"/>
        <v>AZ</v>
      </c>
    </row>
    <row r="67" spans="1:8" x14ac:dyDescent="0.2">
      <c r="A67" t="str">
        <f>Data!A67</f>
        <v>SKU-1066</v>
      </c>
      <c r="B67" s="1">
        <f>Data!O67</f>
        <v>276974</v>
      </c>
      <c r="C67" s="4">
        <f>B67/SUM(Data!$O$2:$O$121)</f>
        <v>5.0004939579696654E-3</v>
      </c>
      <c r="D67" s="4">
        <f>SUM($C$2:C67)</f>
        <v>0.56046897698415832</v>
      </c>
      <c r="E67" t="str">
        <f t="shared" ref="E67:E121" si="3">IF(D67&lt;=0.8,"A",IF(D67&lt;=0.95,"B","C"))</f>
        <v>A</v>
      </c>
      <c r="F67" s="4">
        <f>_xlfn.STDEV.S(Data!C67:N67)/AVERAGE(Data!C67:N67)</f>
        <v>0.24370237439366504</v>
      </c>
      <c r="G67" t="str">
        <f t="shared" ref="G67:G121" si="4">IF(F67&lt;0.1,"X",IF(F67&lt;=0.25,"Y","Z"))</f>
        <v>Y</v>
      </c>
      <c r="H67" t="str">
        <f t="shared" ref="H67:H121" si="5">E67&amp;G67</f>
        <v>AY</v>
      </c>
    </row>
    <row r="68" spans="1:8" x14ac:dyDescent="0.2">
      <c r="A68" t="str">
        <f>Data!A68</f>
        <v>SKU-1067</v>
      </c>
      <c r="B68" s="1">
        <f>Data!O68</f>
        <v>130457</v>
      </c>
      <c r="C68" s="4">
        <f>B68/SUM(Data!$O$2:$O$121)</f>
        <v>2.3552732035311929E-3</v>
      </c>
      <c r="D68" s="4">
        <f>SUM($C$2:C68)</f>
        <v>0.56282425018768956</v>
      </c>
      <c r="E68" t="str">
        <f t="shared" si="3"/>
        <v>A</v>
      </c>
      <c r="F68" s="4">
        <f>_xlfn.STDEV.S(Data!C68:N68)/AVERAGE(Data!C68:N68)</f>
        <v>0.20335928123037458</v>
      </c>
      <c r="G68" t="str">
        <f t="shared" si="4"/>
        <v>Y</v>
      </c>
      <c r="H68" t="str">
        <f t="shared" si="5"/>
        <v>AY</v>
      </c>
    </row>
    <row r="69" spans="1:8" x14ac:dyDescent="0.2">
      <c r="A69" t="str">
        <f>Data!A69</f>
        <v>SKU-1068</v>
      </c>
      <c r="B69" s="1">
        <f>Data!O69</f>
        <v>733891</v>
      </c>
      <c r="C69" s="4">
        <f>B69/SUM(Data!$O$2:$O$121)</f>
        <v>1.3249682321475357E-2</v>
      </c>
      <c r="D69" s="4">
        <f>SUM($C$2:C69)</f>
        <v>0.57607393250916494</v>
      </c>
      <c r="E69" t="str">
        <f t="shared" si="3"/>
        <v>A</v>
      </c>
      <c r="F69" s="4">
        <f>_xlfn.STDEV.S(Data!C69:N69)/AVERAGE(Data!C69:N69)</f>
        <v>0.18756791124400404</v>
      </c>
      <c r="G69" t="str">
        <f t="shared" si="4"/>
        <v>Y</v>
      </c>
      <c r="H69" t="str">
        <f t="shared" si="5"/>
        <v>AY</v>
      </c>
    </row>
    <row r="70" spans="1:8" x14ac:dyDescent="0.2">
      <c r="A70" t="str">
        <f>Data!A70</f>
        <v>SKU-1069</v>
      </c>
      <c r="B70" s="1">
        <f>Data!O70</f>
        <v>718273</v>
      </c>
      <c r="C70" s="4">
        <f>B70/SUM(Data!$O$2:$O$121)</f>
        <v>1.2967714647124803E-2</v>
      </c>
      <c r="D70" s="4">
        <f>SUM($C$2:C70)</f>
        <v>0.5890416471562897</v>
      </c>
      <c r="E70" t="str">
        <f t="shared" si="3"/>
        <v>A</v>
      </c>
      <c r="F70" s="4">
        <f>_xlfn.STDEV.S(Data!C70:N70)/AVERAGE(Data!C70:N70)</f>
        <v>0.23273188909826598</v>
      </c>
      <c r="G70" t="str">
        <f t="shared" si="4"/>
        <v>Y</v>
      </c>
      <c r="H70" t="str">
        <f t="shared" si="5"/>
        <v>AY</v>
      </c>
    </row>
    <row r="71" spans="1:8" x14ac:dyDescent="0.2">
      <c r="A71" t="str">
        <f>Data!A71</f>
        <v>SKU-1070</v>
      </c>
      <c r="B71" s="1">
        <f>Data!O71</f>
        <v>358767</v>
      </c>
      <c r="C71" s="4">
        <f>B71/SUM(Data!$O$2:$O$121)</f>
        <v>6.4771863634092109E-3</v>
      </c>
      <c r="D71" s="4">
        <f>SUM($C$2:C71)</f>
        <v>0.59551883351969892</v>
      </c>
      <c r="E71" t="str">
        <f t="shared" si="3"/>
        <v>A</v>
      </c>
      <c r="F71" s="4">
        <f>_xlfn.STDEV.S(Data!C71:N71)/AVERAGE(Data!C71:N71)</f>
        <v>0.166409190672762</v>
      </c>
      <c r="G71" t="str">
        <f t="shared" si="4"/>
        <v>Y</v>
      </c>
      <c r="H71" t="str">
        <f t="shared" si="5"/>
        <v>AY</v>
      </c>
    </row>
    <row r="72" spans="1:8" x14ac:dyDescent="0.2">
      <c r="A72" t="str">
        <f>Data!A72</f>
        <v>SKU-1071</v>
      </c>
      <c r="B72" s="1">
        <f>Data!O72</f>
        <v>210509</v>
      </c>
      <c r="C72" s="4">
        <f>B72/SUM(Data!$O$2:$O$121)</f>
        <v>3.8005335612665316E-3</v>
      </c>
      <c r="D72" s="4">
        <f>SUM($C$2:C72)</f>
        <v>0.59931936708096545</v>
      </c>
      <c r="E72" t="str">
        <f t="shared" si="3"/>
        <v>A</v>
      </c>
      <c r="F72" s="4">
        <f>_xlfn.STDEV.S(Data!C72:N72)/AVERAGE(Data!C72:N72)</f>
        <v>0.23344740176669315</v>
      </c>
      <c r="G72" t="str">
        <f t="shared" si="4"/>
        <v>Y</v>
      </c>
      <c r="H72" t="str">
        <f t="shared" si="5"/>
        <v>AY</v>
      </c>
    </row>
    <row r="73" spans="1:8" x14ac:dyDescent="0.2">
      <c r="A73" t="str">
        <f>Data!A73</f>
        <v>SKU-1072</v>
      </c>
      <c r="B73" s="1">
        <f>Data!O73</f>
        <v>651457</v>
      </c>
      <c r="C73" s="4">
        <f>B73/SUM(Data!$O$2:$O$121)</f>
        <v>1.1761417289626623E-2</v>
      </c>
      <c r="D73" s="4">
        <f>SUM($C$2:C73)</f>
        <v>0.6110807843705921</v>
      </c>
      <c r="E73" t="str">
        <f t="shared" si="3"/>
        <v>A</v>
      </c>
      <c r="F73" s="4">
        <f>_xlfn.STDEV.S(Data!C73:N73)/AVERAGE(Data!C73:N73)</f>
        <v>0.20582925547371239</v>
      </c>
      <c r="G73" t="str">
        <f t="shared" si="4"/>
        <v>Y</v>
      </c>
      <c r="H73" t="str">
        <f t="shared" si="5"/>
        <v>AY</v>
      </c>
    </row>
    <row r="74" spans="1:8" x14ac:dyDescent="0.2">
      <c r="A74" t="str">
        <f>Data!A74</f>
        <v>SKU-1073</v>
      </c>
      <c r="B74" s="1">
        <f>Data!O74</f>
        <v>436631</v>
      </c>
      <c r="C74" s="4">
        <f>B74/SUM(Data!$O$2:$O$121)</f>
        <v>7.8829445267868201E-3</v>
      </c>
      <c r="D74" s="4">
        <f>SUM($C$2:C74)</f>
        <v>0.61896372889737894</v>
      </c>
      <c r="E74" t="str">
        <f t="shared" si="3"/>
        <v>A</v>
      </c>
      <c r="F74" s="4">
        <f>_xlfn.STDEV.S(Data!C74:N74)/AVERAGE(Data!C74:N74)</f>
        <v>0.24376529318746684</v>
      </c>
      <c r="G74" t="str">
        <f t="shared" si="4"/>
        <v>Y</v>
      </c>
      <c r="H74" t="str">
        <f t="shared" si="5"/>
        <v>AY</v>
      </c>
    </row>
    <row r="75" spans="1:8" x14ac:dyDescent="0.2">
      <c r="A75" t="str">
        <f>Data!A75</f>
        <v>SKU-1074</v>
      </c>
      <c r="B75" s="1">
        <f>Data!O75</f>
        <v>739591</v>
      </c>
      <c r="C75" s="4">
        <f>B75/SUM(Data!$O$2:$O$121)</f>
        <v>1.3352590231822274E-2</v>
      </c>
      <c r="D75" s="4">
        <f>SUM($C$2:C75)</f>
        <v>0.63231631912920117</v>
      </c>
      <c r="E75" t="str">
        <f t="shared" si="3"/>
        <v>A</v>
      </c>
      <c r="F75" s="4">
        <f>_xlfn.STDEV.S(Data!C75:N75)/AVERAGE(Data!C75:N75)</f>
        <v>0.19312914218516872</v>
      </c>
      <c r="G75" t="str">
        <f t="shared" si="4"/>
        <v>Y</v>
      </c>
      <c r="H75" t="str">
        <f t="shared" si="5"/>
        <v>AY</v>
      </c>
    </row>
    <row r="76" spans="1:8" x14ac:dyDescent="0.2">
      <c r="A76" t="str">
        <f>Data!A76</f>
        <v>SKU-1075</v>
      </c>
      <c r="B76" s="1">
        <f>Data!O76</f>
        <v>478034</v>
      </c>
      <c r="C76" s="4">
        <f>B76/SUM(Data!$O$2:$O$121)</f>
        <v>8.6304350903119824E-3</v>
      </c>
      <c r="D76" s="4">
        <f>SUM($C$2:C76)</f>
        <v>0.64094675421951319</v>
      </c>
      <c r="E76" t="str">
        <f t="shared" si="3"/>
        <v>A</v>
      </c>
      <c r="F76" s="4">
        <f>_xlfn.STDEV.S(Data!C76:N76)/AVERAGE(Data!C76:N76)</f>
        <v>0.17741056668761801</v>
      </c>
      <c r="G76" t="str">
        <f t="shared" si="4"/>
        <v>Y</v>
      </c>
      <c r="H76" t="str">
        <f t="shared" si="5"/>
        <v>AY</v>
      </c>
    </row>
    <row r="77" spans="1:8" x14ac:dyDescent="0.2">
      <c r="A77" t="str">
        <f>Data!A77</f>
        <v>SKU-1076</v>
      </c>
      <c r="B77" s="1">
        <f>Data!O77</f>
        <v>763612</v>
      </c>
      <c r="C77" s="4">
        <f>B77/SUM(Data!$O$2:$O$121)</f>
        <v>1.3786265830847416E-2</v>
      </c>
      <c r="D77" s="4">
        <f>SUM($C$2:C77)</f>
        <v>0.6547330200503606</v>
      </c>
      <c r="E77" t="str">
        <f t="shared" si="3"/>
        <v>A</v>
      </c>
      <c r="F77" s="4">
        <f>_xlfn.STDEV.S(Data!C77:N77)/AVERAGE(Data!C77:N77)</f>
        <v>0.19463069433801225</v>
      </c>
      <c r="G77" t="str">
        <f t="shared" si="4"/>
        <v>Y</v>
      </c>
      <c r="H77" t="str">
        <f t="shared" si="5"/>
        <v>AY</v>
      </c>
    </row>
    <row r="78" spans="1:8" x14ac:dyDescent="0.2">
      <c r="A78" t="str">
        <f>Data!A78</f>
        <v>SKU-1077</v>
      </c>
      <c r="B78" s="1">
        <f>Data!O78</f>
        <v>456806</v>
      </c>
      <c r="C78" s="4">
        <f>B78/SUM(Data!$O$2:$O$121)</f>
        <v>8.2471843673568301E-3</v>
      </c>
      <c r="D78" s="4">
        <f>SUM($C$2:C78)</f>
        <v>0.66298020441771743</v>
      </c>
      <c r="E78" t="str">
        <f t="shared" si="3"/>
        <v>A</v>
      </c>
      <c r="F78" s="4">
        <f>_xlfn.STDEV.S(Data!C78:N78)/AVERAGE(Data!C78:N78)</f>
        <v>0.17814590167795946</v>
      </c>
      <c r="G78" t="str">
        <f t="shared" si="4"/>
        <v>Y</v>
      </c>
      <c r="H78" t="str">
        <f t="shared" si="5"/>
        <v>AY</v>
      </c>
    </row>
    <row r="79" spans="1:8" x14ac:dyDescent="0.2">
      <c r="A79" t="str">
        <f>Data!A79</f>
        <v>SKU-1078</v>
      </c>
      <c r="B79" s="1">
        <f>Data!O79</f>
        <v>528381</v>
      </c>
      <c r="C79" s="4">
        <f>B79/SUM(Data!$O$2:$O$121)</f>
        <v>9.5394008029850083E-3</v>
      </c>
      <c r="D79" s="4">
        <f>SUM($C$2:C79)</f>
        <v>0.67251960522070242</v>
      </c>
      <c r="E79" t="str">
        <f t="shared" si="3"/>
        <v>A</v>
      </c>
      <c r="F79" s="4">
        <f>_xlfn.STDEV.S(Data!C79:N79)/AVERAGE(Data!C79:N79)</f>
        <v>0.16811545173842005</v>
      </c>
      <c r="G79" t="str">
        <f t="shared" si="4"/>
        <v>Y</v>
      </c>
      <c r="H79" t="str">
        <f t="shared" si="5"/>
        <v>AY</v>
      </c>
    </row>
    <row r="80" spans="1:8" x14ac:dyDescent="0.2">
      <c r="A80" t="str">
        <f>Data!A80</f>
        <v>SKU-1079</v>
      </c>
      <c r="B80" s="1">
        <f>Data!O80</f>
        <v>539448</v>
      </c>
      <c r="C80" s="4">
        <f>B80/SUM(Data!$O$2:$O$121)</f>
        <v>9.7392046352322605E-3</v>
      </c>
      <c r="D80" s="4">
        <f>SUM($C$2:C80)</f>
        <v>0.68225880985593468</v>
      </c>
      <c r="E80" t="str">
        <f t="shared" si="3"/>
        <v>A</v>
      </c>
      <c r="F80" s="4">
        <f>_xlfn.STDEV.S(Data!C80:N80)/AVERAGE(Data!C80:N80)</f>
        <v>0.25979755247953706</v>
      </c>
      <c r="G80" t="str">
        <f t="shared" si="4"/>
        <v>Z</v>
      </c>
      <c r="H80" t="str">
        <f t="shared" si="5"/>
        <v>AZ</v>
      </c>
    </row>
    <row r="81" spans="1:8" x14ac:dyDescent="0.2">
      <c r="A81" t="str">
        <f>Data!A81</f>
        <v>SKU-1080</v>
      </c>
      <c r="B81" s="1">
        <f>Data!O81</f>
        <v>353631</v>
      </c>
      <c r="C81" s="4">
        <f>B81/SUM(Data!$O$2:$O$121)</f>
        <v>6.3844609199808309E-3</v>
      </c>
      <c r="D81" s="4">
        <f>SUM($C$2:C81)</f>
        <v>0.68864327077591547</v>
      </c>
      <c r="E81" t="str">
        <f t="shared" si="3"/>
        <v>A</v>
      </c>
      <c r="F81" s="4">
        <f>_xlfn.STDEV.S(Data!C81:N81)/AVERAGE(Data!C81:N81)</f>
        <v>0.20998597192056417</v>
      </c>
      <c r="G81" t="str">
        <f t="shared" si="4"/>
        <v>Y</v>
      </c>
      <c r="H81" t="str">
        <f t="shared" si="5"/>
        <v>AY</v>
      </c>
    </row>
    <row r="82" spans="1:8" x14ac:dyDescent="0.2">
      <c r="A82" t="str">
        <f>Data!A82</f>
        <v>SKU-1081</v>
      </c>
      <c r="B82" s="1">
        <f>Data!O82</f>
        <v>747370</v>
      </c>
      <c r="C82" s="4">
        <f>B82/SUM(Data!$O$2:$O$121)</f>
        <v>1.3493032448416778E-2</v>
      </c>
      <c r="D82" s="4">
        <f>SUM($C$2:C82)</f>
        <v>0.70213630322433229</v>
      </c>
      <c r="E82" t="str">
        <f t="shared" si="3"/>
        <v>A</v>
      </c>
      <c r="F82" s="4">
        <f>_xlfn.STDEV.S(Data!C82:N82)/AVERAGE(Data!C82:N82)</f>
        <v>0.12426051397747699</v>
      </c>
      <c r="G82" t="str">
        <f t="shared" si="4"/>
        <v>Y</v>
      </c>
      <c r="H82" t="str">
        <f t="shared" si="5"/>
        <v>AY</v>
      </c>
    </row>
    <row r="83" spans="1:8" x14ac:dyDescent="0.2">
      <c r="A83" t="str">
        <f>Data!A83</f>
        <v>SKU-1082</v>
      </c>
      <c r="B83" s="1">
        <f>Data!O83</f>
        <v>273363</v>
      </c>
      <c r="C83" s="4">
        <f>B83/SUM(Data!$O$2:$O$121)</f>
        <v>4.9353008940639254E-3</v>
      </c>
      <c r="D83" s="4">
        <f>SUM($C$2:C83)</f>
        <v>0.7070716041183962</v>
      </c>
      <c r="E83" t="str">
        <f t="shared" si="3"/>
        <v>A</v>
      </c>
      <c r="F83" s="4">
        <f>_xlfn.STDEV.S(Data!C83:N83)/AVERAGE(Data!C83:N83)</f>
        <v>0.23395700290094817</v>
      </c>
      <c r="G83" t="str">
        <f t="shared" si="4"/>
        <v>Y</v>
      </c>
      <c r="H83" t="str">
        <f t="shared" si="5"/>
        <v>AY</v>
      </c>
    </row>
    <row r="84" spans="1:8" x14ac:dyDescent="0.2">
      <c r="A84" t="str">
        <f>Data!A84</f>
        <v>SKU-1083</v>
      </c>
      <c r="B84" s="1">
        <f>Data!O84</f>
        <v>195899</v>
      </c>
      <c r="C84" s="4">
        <f>B84/SUM(Data!$O$2:$O$121)</f>
        <v>3.5367643384299589E-3</v>
      </c>
      <c r="D84" s="4">
        <f>SUM($C$2:C84)</f>
        <v>0.71060836845682618</v>
      </c>
      <c r="E84" t="str">
        <f t="shared" si="3"/>
        <v>A</v>
      </c>
      <c r="F84" s="4">
        <f>_xlfn.STDEV.S(Data!C84:N84)/AVERAGE(Data!C84:N84)</f>
        <v>0.20432161588306288</v>
      </c>
      <c r="G84" t="str">
        <f t="shared" si="4"/>
        <v>Y</v>
      </c>
      <c r="H84" t="str">
        <f t="shared" si="5"/>
        <v>AY</v>
      </c>
    </row>
    <row r="85" spans="1:8" x14ac:dyDescent="0.2">
      <c r="A85" t="str">
        <f>Data!A85</f>
        <v>SKU-1084</v>
      </c>
      <c r="B85" s="1">
        <f>Data!O85</f>
        <v>600319</v>
      </c>
      <c r="C85" s="4">
        <f>B85/SUM(Data!$O$2:$O$121)</f>
        <v>1.0838170847640542E-2</v>
      </c>
      <c r="D85" s="4">
        <f>SUM($C$2:C85)</f>
        <v>0.72144653930446667</v>
      </c>
      <c r="E85" t="str">
        <f t="shared" si="3"/>
        <v>A</v>
      </c>
      <c r="F85" s="4">
        <f>_xlfn.STDEV.S(Data!C85:N85)/AVERAGE(Data!C85:N85)</f>
        <v>0.2332741595810249</v>
      </c>
      <c r="G85" t="str">
        <f t="shared" si="4"/>
        <v>Y</v>
      </c>
      <c r="H85" t="str">
        <f t="shared" si="5"/>
        <v>AY</v>
      </c>
    </row>
    <row r="86" spans="1:8" x14ac:dyDescent="0.2">
      <c r="A86" t="str">
        <f>Data!A86</f>
        <v>SKU-1085</v>
      </c>
      <c r="B86" s="1">
        <f>Data!O86</f>
        <v>847063</v>
      </c>
      <c r="C86" s="4">
        <f>B86/SUM(Data!$O$2:$O$121)</f>
        <v>1.5292891800384362E-2</v>
      </c>
      <c r="D86" s="4">
        <f>SUM($C$2:C86)</f>
        <v>0.73673943110485107</v>
      </c>
      <c r="E86" t="str">
        <f t="shared" si="3"/>
        <v>A</v>
      </c>
      <c r="F86" s="4">
        <f>_xlfn.STDEV.S(Data!C86:N86)/AVERAGE(Data!C86:N86)</f>
        <v>0.21254186073598408</v>
      </c>
      <c r="G86" t="str">
        <f t="shared" si="4"/>
        <v>Y</v>
      </c>
      <c r="H86" t="str">
        <f t="shared" si="5"/>
        <v>AY</v>
      </c>
    </row>
    <row r="87" spans="1:8" x14ac:dyDescent="0.2">
      <c r="A87" t="str">
        <f>Data!A87</f>
        <v>SKU-1086</v>
      </c>
      <c r="B87" s="1">
        <f>Data!O87</f>
        <v>151512</v>
      </c>
      <c r="C87" s="4">
        <f>B87/SUM(Data!$O$2:$O$121)</f>
        <v>2.7354005811372185E-3</v>
      </c>
      <c r="D87" s="4">
        <f>SUM($C$2:C87)</f>
        <v>0.73947483168598827</v>
      </c>
      <c r="E87" t="str">
        <f t="shared" si="3"/>
        <v>A</v>
      </c>
      <c r="F87" s="4">
        <f>_xlfn.STDEV.S(Data!C87:N87)/AVERAGE(Data!C87:N87)</f>
        <v>0.27908780207153028</v>
      </c>
      <c r="G87" t="str">
        <f t="shared" si="4"/>
        <v>Z</v>
      </c>
      <c r="H87" t="str">
        <f t="shared" si="5"/>
        <v>AZ</v>
      </c>
    </row>
    <row r="88" spans="1:8" x14ac:dyDescent="0.2">
      <c r="A88" t="str">
        <f>Data!A88</f>
        <v>SKU-1087</v>
      </c>
      <c r="B88" s="1">
        <f>Data!O88</f>
        <v>140372</v>
      </c>
      <c r="C88" s="4">
        <f>B88/SUM(Data!$O$2:$O$121)</f>
        <v>2.5342788054767518E-3</v>
      </c>
      <c r="D88" s="4">
        <f>SUM($C$2:C88)</f>
        <v>0.74200911049146501</v>
      </c>
      <c r="E88" t="str">
        <f t="shared" si="3"/>
        <v>A</v>
      </c>
      <c r="F88" s="4">
        <f>_xlfn.STDEV.S(Data!C88:N88)/AVERAGE(Data!C88:N88)</f>
        <v>0.186245035269995</v>
      </c>
      <c r="G88" t="str">
        <f t="shared" si="4"/>
        <v>Y</v>
      </c>
      <c r="H88" t="str">
        <f t="shared" si="5"/>
        <v>AY</v>
      </c>
    </row>
    <row r="89" spans="1:8" x14ac:dyDescent="0.2">
      <c r="A89" t="str">
        <f>Data!A89</f>
        <v>SKU-1088</v>
      </c>
      <c r="B89" s="1">
        <f>Data!O89</f>
        <v>726887</v>
      </c>
      <c r="C89" s="4">
        <f>B89/SUM(Data!$O$2:$O$121)</f>
        <v>1.3123231969884162E-2</v>
      </c>
      <c r="D89" s="4">
        <f>SUM($C$2:C89)</f>
        <v>0.75513234246134919</v>
      </c>
      <c r="E89" t="str">
        <f t="shared" si="3"/>
        <v>A</v>
      </c>
      <c r="F89" s="4">
        <f>_xlfn.STDEV.S(Data!C89:N89)/AVERAGE(Data!C89:N89)</f>
        <v>0.23170137257156806</v>
      </c>
      <c r="G89" t="str">
        <f t="shared" si="4"/>
        <v>Y</v>
      </c>
      <c r="H89" t="str">
        <f t="shared" si="5"/>
        <v>AY</v>
      </c>
    </row>
    <row r="90" spans="1:8" x14ac:dyDescent="0.2">
      <c r="A90" t="str">
        <f>Data!A90</f>
        <v>SKU-1089</v>
      </c>
      <c r="B90" s="1">
        <f>Data!O90</f>
        <v>463400</v>
      </c>
      <c r="C90" s="4">
        <f>B90/SUM(Data!$O$2:$O$121)</f>
        <v>8.366232571010792E-3</v>
      </c>
      <c r="D90" s="4">
        <f>SUM($C$2:C90)</f>
        <v>0.76349857503235996</v>
      </c>
      <c r="E90" t="str">
        <f t="shared" si="3"/>
        <v>A</v>
      </c>
      <c r="F90" s="4">
        <f>_xlfn.STDEV.S(Data!C90:N90)/AVERAGE(Data!C90:N90)</f>
        <v>0.2061574554183607</v>
      </c>
      <c r="G90" t="str">
        <f t="shared" si="4"/>
        <v>Y</v>
      </c>
      <c r="H90" t="str">
        <f t="shared" si="5"/>
        <v>AY</v>
      </c>
    </row>
    <row r="91" spans="1:8" x14ac:dyDescent="0.2">
      <c r="A91" t="str">
        <f>Data!A91</f>
        <v>SKU-1090</v>
      </c>
      <c r="B91" s="1">
        <f>Data!O91</f>
        <v>424694</v>
      </c>
      <c r="C91" s="4">
        <f>B91/SUM(Data!$O$2:$O$121)</f>
        <v>7.6674336976971453E-3</v>
      </c>
      <c r="D91" s="4">
        <f>SUM($C$2:C91)</f>
        <v>0.77116600873005714</v>
      </c>
      <c r="E91" t="str">
        <f t="shared" si="3"/>
        <v>A</v>
      </c>
      <c r="F91" s="4">
        <f>_xlfn.STDEV.S(Data!C91:N91)/AVERAGE(Data!C91:N91)</f>
        <v>0.22433951986440137</v>
      </c>
      <c r="G91" t="str">
        <f t="shared" si="4"/>
        <v>Y</v>
      </c>
      <c r="H91" t="str">
        <f t="shared" si="5"/>
        <v>AY</v>
      </c>
    </row>
    <row r="92" spans="1:8" x14ac:dyDescent="0.2">
      <c r="A92" t="str">
        <f>Data!A92</f>
        <v>SKU-1091</v>
      </c>
      <c r="B92" s="1">
        <f>Data!O92</f>
        <v>491476</v>
      </c>
      <c r="C92" s="4">
        <f>B92/SUM(Data!$O$2:$O$121)</f>
        <v>8.8731172185371153E-3</v>
      </c>
      <c r="D92" s="4">
        <f>SUM($C$2:C92)</f>
        <v>0.78003912594859426</v>
      </c>
      <c r="E92" t="str">
        <f t="shared" si="3"/>
        <v>A</v>
      </c>
      <c r="F92" s="4">
        <f>_xlfn.STDEV.S(Data!C92:N92)/AVERAGE(Data!C92:N92)</f>
        <v>0.17825096970348733</v>
      </c>
      <c r="G92" t="str">
        <f t="shared" si="4"/>
        <v>Y</v>
      </c>
      <c r="H92" t="str">
        <f t="shared" si="5"/>
        <v>AY</v>
      </c>
    </row>
    <row r="93" spans="1:8" x14ac:dyDescent="0.2">
      <c r="A93" t="str">
        <f>Data!A93</f>
        <v>SKU-1092</v>
      </c>
      <c r="B93" s="1">
        <f>Data!O93</f>
        <v>601271</v>
      </c>
      <c r="C93" s="4">
        <f>B93/SUM(Data!$O$2:$O$121)</f>
        <v>1.0855358274070413E-2</v>
      </c>
      <c r="D93" s="4">
        <f>SUM($C$2:C93)</f>
        <v>0.79089448422266462</v>
      </c>
      <c r="E93" t="str">
        <f t="shared" si="3"/>
        <v>A</v>
      </c>
      <c r="F93" s="4">
        <f>_xlfn.STDEV.S(Data!C93:N93)/AVERAGE(Data!C93:N93)</f>
        <v>0.19013183230341255</v>
      </c>
      <c r="G93" t="str">
        <f t="shared" si="4"/>
        <v>Y</v>
      </c>
      <c r="H93" t="str">
        <f t="shared" si="5"/>
        <v>AY</v>
      </c>
    </row>
    <row r="94" spans="1:8" x14ac:dyDescent="0.2">
      <c r="A94" t="str">
        <f>Data!A94</f>
        <v>SKU-1093</v>
      </c>
      <c r="B94" s="1">
        <f>Data!O94</f>
        <v>188911</v>
      </c>
      <c r="C94" s="4">
        <f>B94/SUM(Data!$O$2:$O$121)</f>
        <v>3.4106028511485102E-3</v>
      </c>
      <c r="D94" s="4">
        <f>SUM($C$2:C94)</f>
        <v>0.79430508707381309</v>
      </c>
      <c r="E94" t="str">
        <f t="shared" si="3"/>
        <v>A</v>
      </c>
      <c r="F94" s="4">
        <f>_xlfn.STDEV.S(Data!C94:N94)/AVERAGE(Data!C94:N94)</f>
        <v>0.17312354500029581</v>
      </c>
      <c r="G94" t="str">
        <f t="shared" si="4"/>
        <v>Y</v>
      </c>
      <c r="H94" t="str">
        <f t="shared" si="5"/>
        <v>AY</v>
      </c>
    </row>
    <row r="95" spans="1:8" x14ac:dyDescent="0.2">
      <c r="A95" t="str">
        <f>Data!A95</f>
        <v>SKU-1094</v>
      </c>
      <c r="B95" s="1">
        <f>Data!O95</f>
        <v>117541</v>
      </c>
      <c r="C95" s="4">
        <f>B95/SUM(Data!$O$2:$O$121)</f>
        <v>2.1220874894889497E-3</v>
      </c>
      <c r="D95" s="4">
        <f>SUM($C$2:C95)</f>
        <v>0.79642717456330203</v>
      </c>
      <c r="E95" t="str">
        <f t="shared" si="3"/>
        <v>A</v>
      </c>
      <c r="F95" s="4">
        <f>_xlfn.STDEV.S(Data!C95:N95)/AVERAGE(Data!C95:N95)</f>
        <v>0.2103645726705036</v>
      </c>
      <c r="G95" t="str">
        <f t="shared" si="4"/>
        <v>Y</v>
      </c>
      <c r="H95" t="str">
        <f t="shared" si="5"/>
        <v>AY</v>
      </c>
    </row>
    <row r="96" spans="1:8" x14ac:dyDescent="0.2">
      <c r="A96" t="str">
        <f>Data!A96</f>
        <v>SKU-1095</v>
      </c>
      <c r="B96" s="1">
        <f>Data!O96</f>
        <v>162727</v>
      </c>
      <c r="C96" s="4">
        <f>B96/SUM(Data!$O$2:$O$121)</f>
        <v>2.937876408249618E-3</v>
      </c>
      <c r="D96" s="4">
        <f>SUM($C$2:C96)</f>
        <v>0.79936505097155164</v>
      </c>
      <c r="E96" t="str">
        <f t="shared" si="3"/>
        <v>A</v>
      </c>
      <c r="F96" s="4">
        <f>_xlfn.STDEV.S(Data!C96:N96)/AVERAGE(Data!C96:N96)</f>
        <v>0.22006895982760444</v>
      </c>
      <c r="G96" t="str">
        <f t="shared" si="4"/>
        <v>Y</v>
      </c>
      <c r="H96" t="str">
        <f t="shared" si="5"/>
        <v>AY</v>
      </c>
    </row>
    <row r="97" spans="1:8" x14ac:dyDescent="0.2">
      <c r="A97" t="str">
        <f>Data!A97</f>
        <v>SKU-1096</v>
      </c>
      <c r="B97" s="1">
        <f>Data!O97</f>
        <v>442977</v>
      </c>
      <c r="C97" s="4">
        <f>B97/SUM(Data!$O$2:$O$121)</f>
        <v>7.9975153336397219E-3</v>
      </c>
      <c r="D97" s="4">
        <f>SUM($C$2:C97)</f>
        <v>0.80736256630519132</v>
      </c>
      <c r="E97" t="str">
        <f t="shared" si="3"/>
        <v>B</v>
      </c>
      <c r="F97" s="4">
        <f>_xlfn.STDEV.S(Data!C97:N97)/AVERAGE(Data!C97:N97)</f>
        <v>0.23558347485689998</v>
      </c>
      <c r="G97" t="str">
        <f t="shared" si="4"/>
        <v>Y</v>
      </c>
      <c r="H97" t="str">
        <f t="shared" si="5"/>
        <v>BY</v>
      </c>
    </row>
    <row r="98" spans="1:8" x14ac:dyDescent="0.2">
      <c r="A98" t="str">
        <f>Data!A98</f>
        <v>SKU-1097</v>
      </c>
      <c r="B98" s="1">
        <f>Data!O98</f>
        <v>829724</v>
      </c>
      <c r="C98" s="4">
        <f>B98/SUM(Data!$O$2:$O$121)</f>
        <v>1.4979853158716784E-2</v>
      </c>
      <c r="D98" s="4">
        <f>SUM($C$2:C98)</f>
        <v>0.82234241946390807</v>
      </c>
      <c r="E98" t="str">
        <f t="shared" si="3"/>
        <v>B</v>
      </c>
      <c r="F98" s="4">
        <f>_xlfn.STDEV.S(Data!C98:N98)/AVERAGE(Data!C98:N98)</f>
        <v>0.19155606841563974</v>
      </c>
      <c r="G98" t="str">
        <f t="shared" si="4"/>
        <v>Y</v>
      </c>
      <c r="H98" t="str">
        <f t="shared" si="5"/>
        <v>BY</v>
      </c>
    </row>
    <row r="99" spans="1:8" x14ac:dyDescent="0.2">
      <c r="A99" t="str">
        <f>Data!A99</f>
        <v>SKU-1098</v>
      </c>
      <c r="B99" s="1">
        <f>Data!O99</f>
        <v>607066</v>
      </c>
      <c r="C99" s="4">
        <f>B99/SUM(Data!$O$2:$O$121)</f>
        <v>1.0959981316256445E-2</v>
      </c>
      <c r="D99" s="4">
        <f>SUM($C$2:C99)</f>
        <v>0.83330240078016449</v>
      </c>
      <c r="E99" t="str">
        <f t="shared" si="3"/>
        <v>B</v>
      </c>
      <c r="F99" s="4">
        <f>_xlfn.STDEV.S(Data!C99:N99)/AVERAGE(Data!C99:N99)</f>
        <v>0.19140396570690321</v>
      </c>
      <c r="G99" t="str">
        <f t="shared" si="4"/>
        <v>Y</v>
      </c>
      <c r="H99" t="str">
        <f t="shared" si="5"/>
        <v>BY</v>
      </c>
    </row>
    <row r="100" spans="1:8" x14ac:dyDescent="0.2">
      <c r="A100" t="str">
        <f>Data!A100</f>
        <v>SKU-1099</v>
      </c>
      <c r="B100" s="1">
        <f>Data!O100</f>
        <v>382477</v>
      </c>
      <c r="C100" s="4">
        <f>B100/SUM(Data!$O$2:$O$121)</f>
        <v>6.9052471624136691E-3</v>
      </c>
      <c r="D100" s="4">
        <f>SUM($C$2:C100)</f>
        <v>0.84020764794257818</v>
      </c>
      <c r="E100" t="str">
        <f t="shared" si="3"/>
        <v>B</v>
      </c>
      <c r="F100" s="4">
        <f>_xlfn.STDEV.S(Data!C100:N100)/AVERAGE(Data!C100:N100)</f>
        <v>0.19623984719377022</v>
      </c>
      <c r="G100" t="str">
        <f t="shared" si="4"/>
        <v>Y</v>
      </c>
      <c r="H100" t="str">
        <f t="shared" si="5"/>
        <v>BY</v>
      </c>
    </row>
    <row r="101" spans="1:8" x14ac:dyDescent="0.2">
      <c r="A101" t="str">
        <f>Data!A101</f>
        <v>SKU-1100</v>
      </c>
      <c r="B101" s="1">
        <f>Data!O101</f>
        <v>698090</v>
      </c>
      <c r="C101" s="4">
        <f>B101/SUM(Data!$O$2:$O$121)</f>
        <v>1.260333037439992E-2</v>
      </c>
      <c r="D101" s="4">
        <f>SUM($C$2:C101)</f>
        <v>0.85281097831697805</v>
      </c>
      <c r="E101" t="str">
        <f t="shared" si="3"/>
        <v>B</v>
      </c>
      <c r="F101" s="4">
        <f>_xlfn.STDEV.S(Data!C101:N101)/AVERAGE(Data!C101:N101)</f>
        <v>0.20328650285622155</v>
      </c>
      <c r="G101" t="str">
        <f t="shared" si="4"/>
        <v>Y</v>
      </c>
      <c r="H101" t="str">
        <f t="shared" si="5"/>
        <v>BY</v>
      </c>
    </row>
    <row r="102" spans="1:8" x14ac:dyDescent="0.2">
      <c r="A102" t="str">
        <f>Data!A102</f>
        <v>SKU-1101</v>
      </c>
      <c r="B102" s="1">
        <f>Data!O102</f>
        <v>459375</v>
      </c>
      <c r="C102" s="4">
        <f>B102/SUM(Data!$O$2:$O$121)</f>
        <v>8.2935651430903808E-3</v>
      </c>
      <c r="D102" s="4">
        <f>SUM($C$2:C102)</f>
        <v>0.86110454346006848</v>
      </c>
      <c r="E102" t="str">
        <f t="shared" si="3"/>
        <v>B</v>
      </c>
      <c r="F102" s="4">
        <f>_xlfn.STDEV.S(Data!C102:N102)/AVERAGE(Data!C102:N102)</f>
        <v>0.2309317042041405</v>
      </c>
      <c r="G102" t="str">
        <f t="shared" si="4"/>
        <v>Y</v>
      </c>
      <c r="H102" t="str">
        <f t="shared" si="5"/>
        <v>BY</v>
      </c>
    </row>
    <row r="103" spans="1:8" x14ac:dyDescent="0.2">
      <c r="A103" t="str">
        <f>Data!A103</f>
        <v>SKU-1102</v>
      </c>
      <c r="B103" s="1">
        <f>Data!O103</f>
        <v>517096</v>
      </c>
      <c r="C103" s="4">
        <f>B103/SUM(Data!$O$2:$O$121)</f>
        <v>9.3356611945174701E-3</v>
      </c>
      <c r="D103" s="4">
        <f>SUM($C$2:C103)</f>
        <v>0.87044020465458594</v>
      </c>
      <c r="E103" t="str">
        <f t="shared" si="3"/>
        <v>B</v>
      </c>
      <c r="F103" s="4">
        <f>_xlfn.STDEV.S(Data!C103:N103)/AVERAGE(Data!C103:N103)</f>
        <v>0.20807111099065628</v>
      </c>
      <c r="G103" t="str">
        <f t="shared" si="4"/>
        <v>Y</v>
      </c>
      <c r="H103" t="str">
        <f t="shared" si="5"/>
        <v>BY</v>
      </c>
    </row>
    <row r="104" spans="1:8" x14ac:dyDescent="0.2">
      <c r="A104" t="str">
        <f>Data!A104</f>
        <v>SKU-1103</v>
      </c>
      <c r="B104" s="1">
        <f>Data!O104</f>
        <v>416237</v>
      </c>
      <c r="C104" s="4">
        <f>B104/SUM(Data!$O$2:$O$121)</f>
        <v>7.5147508559771656E-3</v>
      </c>
      <c r="D104" s="4">
        <f>SUM($C$2:C104)</f>
        <v>0.87795495551056313</v>
      </c>
      <c r="E104" t="str">
        <f t="shared" si="3"/>
        <v>B</v>
      </c>
      <c r="F104" s="4">
        <f>_xlfn.STDEV.S(Data!C104:N104)/AVERAGE(Data!C104:N104)</f>
        <v>0.19141536907441534</v>
      </c>
      <c r="G104" t="str">
        <f t="shared" si="4"/>
        <v>Y</v>
      </c>
      <c r="H104" t="str">
        <f t="shared" si="5"/>
        <v>BY</v>
      </c>
    </row>
    <row r="105" spans="1:8" x14ac:dyDescent="0.2">
      <c r="A105" t="str">
        <f>Data!A105</f>
        <v>SKU-1104</v>
      </c>
      <c r="B105" s="1">
        <f>Data!O105</f>
        <v>341921</v>
      </c>
      <c r="C105" s="4">
        <f>B105/SUM(Data!$O$2:$O$121)</f>
        <v>6.1730483532856728E-3</v>
      </c>
      <c r="D105" s="4">
        <f>SUM($C$2:C105)</f>
        <v>0.88412800386384882</v>
      </c>
      <c r="E105" t="str">
        <f t="shared" si="3"/>
        <v>B</v>
      </c>
      <c r="F105" s="4">
        <f>_xlfn.STDEV.S(Data!C105:N105)/AVERAGE(Data!C105:N105)</f>
        <v>0.23575682508338444</v>
      </c>
      <c r="G105" t="str">
        <f t="shared" si="4"/>
        <v>Y</v>
      </c>
      <c r="H105" t="str">
        <f t="shared" si="5"/>
        <v>BY</v>
      </c>
    </row>
    <row r="106" spans="1:8" x14ac:dyDescent="0.2">
      <c r="A106" t="str">
        <f>Data!A106</f>
        <v>SKU-1105</v>
      </c>
      <c r="B106" s="1">
        <f>Data!O106</f>
        <v>152237</v>
      </c>
      <c r="C106" s="4">
        <f>B106/SUM(Data!$O$2:$O$121)</f>
        <v>2.7484897451725719E-3</v>
      </c>
      <c r="D106" s="4">
        <f>SUM($C$2:C106)</f>
        <v>0.88687649360902143</v>
      </c>
      <c r="E106" t="str">
        <f t="shared" si="3"/>
        <v>B</v>
      </c>
      <c r="F106" s="4">
        <f>_xlfn.STDEV.S(Data!C106:N106)/AVERAGE(Data!C106:N106)</f>
        <v>0.19744885532945083</v>
      </c>
      <c r="G106" t="str">
        <f t="shared" si="4"/>
        <v>Y</v>
      </c>
      <c r="H106" t="str">
        <f t="shared" si="5"/>
        <v>BY</v>
      </c>
    </row>
    <row r="107" spans="1:8" x14ac:dyDescent="0.2">
      <c r="A107" t="str">
        <f>Data!A107</f>
        <v>SKU-1106</v>
      </c>
      <c r="B107" s="1">
        <f>Data!O107</f>
        <v>164878</v>
      </c>
      <c r="C107" s="4">
        <f>B107/SUM(Data!$O$2:$O$121)</f>
        <v>2.97671060389106E-3</v>
      </c>
      <c r="D107" s="4">
        <f>SUM($C$2:C107)</f>
        <v>0.88985320421291247</v>
      </c>
      <c r="E107" t="str">
        <f t="shared" si="3"/>
        <v>B</v>
      </c>
      <c r="F107" s="4">
        <f>_xlfn.STDEV.S(Data!C107:N107)/AVERAGE(Data!C107:N107)</f>
        <v>0.17819544729684406</v>
      </c>
      <c r="G107" t="str">
        <f t="shared" si="4"/>
        <v>Y</v>
      </c>
      <c r="H107" t="str">
        <f t="shared" si="5"/>
        <v>BY</v>
      </c>
    </row>
    <row r="108" spans="1:8" x14ac:dyDescent="0.2">
      <c r="A108" t="str">
        <f>Data!A108</f>
        <v>SKU-1107</v>
      </c>
      <c r="B108" s="1">
        <f>Data!O108</f>
        <v>346198</v>
      </c>
      <c r="C108" s="4">
        <f>B108/SUM(Data!$O$2:$O$121)</f>
        <v>6.2502653940845788E-3</v>
      </c>
      <c r="D108" s="4">
        <f>SUM($C$2:C108)</f>
        <v>0.89610346960699705</v>
      </c>
      <c r="E108" t="str">
        <f t="shared" si="3"/>
        <v>B</v>
      </c>
      <c r="F108" s="4">
        <f>_xlfn.STDEV.S(Data!C108:N108)/AVERAGE(Data!C108:N108)</f>
        <v>0.19710205551674426</v>
      </c>
      <c r="G108" t="str">
        <f t="shared" si="4"/>
        <v>Y</v>
      </c>
      <c r="H108" t="str">
        <f t="shared" si="5"/>
        <v>BY</v>
      </c>
    </row>
    <row r="109" spans="1:8" x14ac:dyDescent="0.2">
      <c r="A109" t="str">
        <f>Data!A109</f>
        <v>SKU-1108</v>
      </c>
      <c r="B109" s="1">
        <f>Data!O109</f>
        <v>262602</v>
      </c>
      <c r="C109" s="4">
        <f>B109/SUM(Data!$O$2:$O$121)</f>
        <v>4.7410215917405608E-3</v>
      </c>
      <c r="D109" s="4">
        <f>SUM($C$2:C109)</f>
        <v>0.90084449119873766</v>
      </c>
      <c r="E109" t="str">
        <f t="shared" si="3"/>
        <v>B</v>
      </c>
      <c r="F109" s="4">
        <f>_xlfn.STDEV.S(Data!C109:N109)/AVERAGE(Data!C109:N109)</f>
        <v>0.17544443586646633</v>
      </c>
      <c r="G109" t="str">
        <f t="shared" si="4"/>
        <v>Y</v>
      </c>
      <c r="H109" t="str">
        <f t="shared" si="5"/>
        <v>BY</v>
      </c>
    </row>
    <row r="110" spans="1:8" x14ac:dyDescent="0.2">
      <c r="A110" t="str">
        <f>Data!A110</f>
        <v>SKU-1109</v>
      </c>
      <c r="B110" s="1">
        <f>Data!O110</f>
        <v>611172</v>
      </c>
      <c r="C110" s="4">
        <f>B110/SUM(Data!$O$2:$O$121)</f>
        <v>1.1034111119744944E-2</v>
      </c>
      <c r="D110" s="4">
        <f>SUM($C$2:C110)</f>
        <v>0.91187860231848261</v>
      </c>
      <c r="E110" t="str">
        <f t="shared" si="3"/>
        <v>B</v>
      </c>
      <c r="F110" s="4">
        <f>_xlfn.STDEV.S(Data!C110:N110)/AVERAGE(Data!C110:N110)</f>
        <v>0.21671234181957613</v>
      </c>
      <c r="G110" t="str">
        <f t="shared" si="4"/>
        <v>Y</v>
      </c>
      <c r="H110" t="str">
        <f t="shared" si="5"/>
        <v>BY</v>
      </c>
    </row>
    <row r="111" spans="1:8" x14ac:dyDescent="0.2">
      <c r="A111" t="str">
        <f>Data!A111</f>
        <v>SKU-1110</v>
      </c>
      <c r="B111" s="1">
        <f>Data!O111</f>
        <v>752113</v>
      </c>
      <c r="C111" s="4">
        <f>B111/SUM(Data!$O$2:$O$121)</f>
        <v>1.3578662662237029E-2</v>
      </c>
      <c r="D111" s="4">
        <f>SUM($C$2:C111)</f>
        <v>0.92545726498071967</v>
      </c>
      <c r="E111" t="str">
        <f t="shared" si="3"/>
        <v>B</v>
      </c>
      <c r="F111" s="4">
        <f>_xlfn.STDEV.S(Data!C111:N111)/AVERAGE(Data!C111:N111)</f>
        <v>0.20082398724066541</v>
      </c>
      <c r="G111" t="str">
        <f t="shared" si="4"/>
        <v>Y</v>
      </c>
      <c r="H111" t="str">
        <f t="shared" si="5"/>
        <v>BY</v>
      </c>
    </row>
    <row r="112" spans="1:8" x14ac:dyDescent="0.2">
      <c r="A112" t="str">
        <f>Data!A112</f>
        <v>SKU-1111</v>
      </c>
      <c r="B112" s="1">
        <f>Data!O112</f>
        <v>577843</v>
      </c>
      <c r="C112" s="4">
        <f>B112/SUM(Data!$O$2:$O$121)</f>
        <v>1.0432388708525224E-2</v>
      </c>
      <c r="D112" s="4">
        <f>SUM($C$2:C112)</f>
        <v>0.93588965368924493</v>
      </c>
      <c r="E112" t="str">
        <f t="shared" si="3"/>
        <v>B</v>
      </c>
      <c r="F112" s="4">
        <f>_xlfn.STDEV.S(Data!C112:N112)/AVERAGE(Data!C112:N112)</f>
        <v>0.22995334219701227</v>
      </c>
      <c r="G112" t="str">
        <f t="shared" si="4"/>
        <v>Y</v>
      </c>
      <c r="H112" t="str">
        <f t="shared" si="5"/>
        <v>BY</v>
      </c>
    </row>
    <row r="113" spans="1:8" x14ac:dyDescent="0.2">
      <c r="A113" t="str">
        <f>Data!A113</f>
        <v>SKU-1112</v>
      </c>
      <c r="B113" s="1">
        <f>Data!O113</f>
        <v>561060</v>
      </c>
      <c r="C113" s="4">
        <f>B113/SUM(Data!$O$2:$O$121)</f>
        <v>1.0129388101621308E-2</v>
      </c>
      <c r="D113" s="4">
        <f>SUM($C$2:C113)</f>
        <v>0.94601904179086627</v>
      </c>
      <c r="E113" t="str">
        <f t="shared" si="3"/>
        <v>B</v>
      </c>
      <c r="F113" s="4">
        <f>_xlfn.STDEV.S(Data!C113:N113)/AVERAGE(Data!C113:N113)</f>
        <v>0.19619337089975603</v>
      </c>
      <c r="G113" t="str">
        <f t="shared" si="4"/>
        <v>Y</v>
      </c>
      <c r="H113" t="str">
        <f t="shared" si="5"/>
        <v>BY</v>
      </c>
    </row>
    <row r="114" spans="1:8" x14ac:dyDescent="0.2">
      <c r="A114" t="str">
        <f>Data!A114</f>
        <v>SKU-1113</v>
      </c>
      <c r="B114" s="1">
        <f>Data!O114</f>
        <v>358527</v>
      </c>
      <c r="C114" s="4">
        <f>B114/SUM(Data!$O$2:$O$121)</f>
        <v>6.472853398763025E-3</v>
      </c>
      <c r="D114" s="4">
        <f>SUM($C$2:C114)</f>
        <v>0.95249189518962929</v>
      </c>
      <c r="E114" t="str">
        <f t="shared" si="3"/>
        <v>C</v>
      </c>
      <c r="F114" s="4">
        <f>_xlfn.STDEV.S(Data!C114:N114)/AVERAGE(Data!C114:N114)</f>
        <v>0.18740180194284156</v>
      </c>
      <c r="G114" t="str">
        <f t="shared" si="4"/>
        <v>Y</v>
      </c>
      <c r="H114" t="str">
        <f t="shared" si="5"/>
        <v>CY</v>
      </c>
    </row>
    <row r="115" spans="1:8" x14ac:dyDescent="0.2">
      <c r="A115" t="str">
        <f>Data!A115</f>
        <v>SKU-1114</v>
      </c>
      <c r="B115" s="1">
        <f>Data!O115</f>
        <v>706568</v>
      </c>
      <c r="C115" s="4">
        <f>B115/SUM(Data!$O$2:$O$121)</f>
        <v>1.2756392350526441E-2</v>
      </c>
      <c r="D115" s="4">
        <f>SUM($C$2:C115)</f>
        <v>0.96524828754015568</v>
      </c>
      <c r="E115" t="str">
        <f t="shared" si="3"/>
        <v>C</v>
      </c>
      <c r="F115" s="4">
        <f>_xlfn.STDEV.S(Data!C115:N115)/AVERAGE(Data!C115:N115)</f>
        <v>0.20300234215772436</v>
      </c>
      <c r="G115" t="str">
        <f t="shared" si="4"/>
        <v>Y</v>
      </c>
      <c r="H115" t="str">
        <f t="shared" si="5"/>
        <v>CY</v>
      </c>
    </row>
    <row r="116" spans="1:8" x14ac:dyDescent="0.2">
      <c r="A116" t="str">
        <f>Data!A116</f>
        <v>SKU-1115</v>
      </c>
      <c r="B116" s="1">
        <f>Data!O116</f>
        <v>143753</v>
      </c>
      <c r="C116" s="4">
        <f>B116/SUM(Data!$O$2:$O$121)</f>
        <v>2.5953194449298968E-3</v>
      </c>
      <c r="D116" s="4">
        <f>SUM($C$2:C116)</f>
        <v>0.96784360698508554</v>
      </c>
      <c r="E116" t="str">
        <f t="shared" si="3"/>
        <v>C</v>
      </c>
      <c r="F116" s="4">
        <f>_xlfn.STDEV.S(Data!C116:N116)/AVERAGE(Data!C116:N116)</f>
        <v>0.15779538024371667</v>
      </c>
      <c r="G116" t="str">
        <f t="shared" si="4"/>
        <v>Y</v>
      </c>
      <c r="H116" t="str">
        <f t="shared" si="5"/>
        <v>CY</v>
      </c>
    </row>
    <row r="117" spans="1:8" x14ac:dyDescent="0.2">
      <c r="A117" t="str">
        <f>Data!A117</f>
        <v>SKU-1116</v>
      </c>
      <c r="B117" s="1">
        <f>Data!O117</f>
        <v>209944</v>
      </c>
      <c r="C117" s="4">
        <f>B117/SUM(Data!$O$2:$O$121)</f>
        <v>3.7903330403286353E-3</v>
      </c>
      <c r="D117" s="4">
        <f>SUM($C$2:C117)</f>
        <v>0.97163394002541414</v>
      </c>
      <c r="E117" t="str">
        <f t="shared" si="3"/>
        <v>C</v>
      </c>
      <c r="F117" s="4">
        <f>_xlfn.STDEV.S(Data!C117:N117)/AVERAGE(Data!C117:N117)</f>
        <v>0.16823239247790875</v>
      </c>
      <c r="G117" t="str">
        <f t="shared" si="4"/>
        <v>Y</v>
      </c>
      <c r="H117" t="str">
        <f t="shared" si="5"/>
        <v>CY</v>
      </c>
    </row>
    <row r="118" spans="1:8" x14ac:dyDescent="0.2">
      <c r="A118" t="str">
        <f>Data!A118</f>
        <v>SKU-1117</v>
      </c>
      <c r="B118" s="1">
        <f>Data!O118</f>
        <v>432230</v>
      </c>
      <c r="C118" s="4">
        <f>B118/SUM(Data!$O$2:$O$121)</f>
        <v>7.803488787587385E-3</v>
      </c>
      <c r="D118" s="4">
        <f>SUM($C$2:C118)</f>
        <v>0.97943742881300155</v>
      </c>
      <c r="E118" t="str">
        <f t="shared" si="3"/>
        <v>C</v>
      </c>
      <c r="F118" s="4">
        <f>_xlfn.STDEV.S(Data!C118:N118)/AVERAGE(Data!C118:N118)</f>
        <v>0.26441659030327042</v>
      </c>
      <c r="G118" t="str">
        <f t="shared" si="4"/>
        <v>Z</v>
      </c>
      <c r="H118" t="str">
        <f t="shared" si="5"/>
        <v>CZ</v>
      </c>
    </row>
    <row r="119" spans="1:8" x14ac:dyDescent="0.2">
      <c r="A119" t="str">
        <f>Data!A119</f>
        <v>SKU-1118</v>
      </c>
      <c r="B119" s="1">
        <f>Data!O119</f>
        <v>171830</v>
      </c>
      <c r="C119" s="4">
        <f>B119/SUM(Data!$O$2:$O$121)</f>
        <v>3.1022221464755812E-3</v>
      </c>
      <c r="D119" s="4">
        <f>SUM($C$2:C119)</f>
        <v>0.98253965095947715</v>
      </c>
      <c r="E119" t="str">
        <f t="shared" si="3"/>
        <v>C</v>
      </c>
      <c r="F119" s="4">
        <f>_xlfn.STDEV.S(Data!C119:N119)/AVERAGE(Data!C119:N119)</f>
        <v>0.1566425687599281</v>
      </c>
      <c r="G119" t="str">
        <f t="shared" si="4"/>
        <v>Y</v>
      </c>
      <c r="H119" t="str">
        <f t="shared" si="5"/>
        <v>CY</v>
      </c>
    </row>
    <row r="120" spans="1:8" x14ac:dyDescent="0.2">
      <c r="A120" t="str">
        <f>Data!A120</f>
        <v>SKU-1119</v>
      </c>
      <c r="B120" s="1">
        <f>Data!O120</f>
        <v>478757</v>
      </c>
      <c r="C120" s="4">
        <f>B120/SUM(Data!$O$2:$O$121)</f>
        <v>8.6434881463086175E-3</v>
      </c>
      <c r="D120" s="4">
        <f>SUM($C$2:C120)</f>
        <v>0.99118313910578582</v>
      </c>
      <c r="E120" t="str">
        <f t="shared" si="3"/>
        <v>C</v>
      </c>
      <c r="F120" s="4">
        <f>_xlfn.STDEV.S(Data!C120:N120)/AVERAGE(Data!C120:N120)</f>
        <v>0.20286566218501739</v>
      </c>
      <c r="G120" t="str">
        <f t="shared" si="4"/>
        <v>Y</v>
      </c>
      <c r="H120" t="str">
        <f t="shared" si="5"/>
        <v>CY</v>
      </c>
    </row>
    <row r="121" spans="1:8" x14ac:dyDescent="0.2">
      <c r="A121" t="str">
        <f>Data!A121</f>
        <v>SKU-1120</v>
      </c>
      <c r="B121" s="1">
        <f>Data!O121</f>
        <v>488360</v>
      </c>
      <c r="C121" s="4">
        <f>B121/SUM(Data!$O$2:$O$121)</f>
        <v>8.8168608942141343E-3</v>
      </c>
      <c r="D121" s="4">
        <f>SUM($C$2:C121)</f>
        <v>1</v>
      </c>
      <c r="E121" t="str">
        <f t="shared" si="3"/>
        <v>C</v>
      </c>
      <c r="F121" s="4">
        <f>_xlfn.STDEV.S(Data!C121:N121)/AVERAGE(Data!C121:N121)</f>
        <v>0.14469247066635688</v>
      </c>
      <c r="G121" t="str">
        <f t="shared" si="4"/>
        <v>Y</v>
      </c>
      <c r="H121" t="str">
        <f t="shared" si="5"/>
        <v>CY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8A23-6A06-0743-8D9F-FCCCA9B0D605}">
  <sheetPr codeName="Sheet4"/>
  <dimension ref="A1:E13"/>
  <sheetViews>
    <sheetView workbookViewId="0"/>
  </sheetViews>
  <sheetFormatPr baseColWidth="10" defaultRowHeight="16" x14ac:dyDescent="0.2"/>
  <cols>
    <col min="1" max="1" width="6.1640625" bestFit="1" customWidth="1"/>
    <col min="2" max="2" width="11" bestFit="1" customWidth="1"/>
    <col min="3" max="3" width="9.5" bestFit="1" customWidth="1"/>
    <col min="4" max="5" width="7.1640625" bestFit="1" customWidth="1"/>
  </cols>
  <sheetData>
    <row r="1" spans="1:5" x14ac:dyDescent="0.2">
      <c r="A1" s="3" t="s">
        <v>156</v>
      </c>
      <c r="B1" s="3" t="s">
        <v>157</v>
      </c>
      <c r="C1" s="3" t="s">
        <v>158</v>
      </c>
      <c r="D1" s="3" t="s">
        <v>159</v>
      </c>
      <c r="E1" s="3" t="s">
        <v>159</v>
      </c>
    </row>
    <row r="2" spans="1:5" x14ac:dyDescent="0.2">
      <c r="A2" t="s">
        <v>160</v>
      </c>
      <c r="B2" s="1">
        <f>AVERAGE(Data!C$2:C$121)</f>
        <v>43000.074999999997</v>
      </c>
      <c r="C2" s="5">
        <f>B2/SUM($B$2:$B$13)</f>
        <v>9.3160005713803715E-2</v>
      </c>
      <c r="D2" s="5">
        <f>C2*12</f>
        <v>1.1179200685656445</v>
      </c>
      <c r="E2" t="str">
        <f>IF(D2&gt;1.1,"?? ???",IF(D2&lt;0.9,"?? ????","? ?????"))</f>
        <v>?? ???</v>
      </c>
    </row>
    <row r="3" spans="1:5" x14ac:dyDescent="0.2">
      <c r="A3" t="s">
        <v>160</v>
      </c>
      <c r="B3" s="1">
        <f>AVERAGE(Data!D$2:D$121)</f>
        <v>45951.491666666669</v>
      </c>
      <c r="C3" s="5">
        <f>B2/SUM($B$2:$B$13)</f>
        <v>9.3160005713803715E-2</v>
      </c>
      <c r="D3" s="5">
        <f>C2*12</f>
        <v>1.1179200685656445</v>
      </c>
      <c r="E3" t="str">
        <f>IF(D2&gt;1.1,"?? ???",IF(D2&lt;0.9,"?? ????","? ?????"))</f>
        <v>?? ???</v>
      </c>
    </row>
    <row r="4" spans="1:5" x14ac:dyDescent="0.2">
      <c r="A4" t="s">
        <v>160</v>
      </c>
      <c r="B4" s="1">
        <f>AVERAGE(Data!E$2:E$121)</f>
        <v>47708.833333333336</v>
      </c>
      <c r="C4" s="5">
        <f>B2/SUM($B$2:$B$13)</f>
        <v>9.3160005713803715E-2</v>
      </c>
      <c r="D4" s="5">
        <f>C2*12</f>
        <v>1.1179200685656445</v>
      </c>
      <c r="E4" t="str">
        <f>IF(D2&gt;1.1,"?? ???",IF(D2&lt;0.9,"?? ????","? ?????"))</f>
        <v>?? ???</v>
      </c>
    </row>
    <row r="5" spans="1:5" x14ac:dyDescent="0.2">
      <c r="A5" t="s">
        <v>160</v>
      </c>
      <c r="B5" s="1">
        <f>AVERAGE(Data!F$2:F$121)</f>
        <v>44213.466666666667</v>
      </c>
      <c r="C5" s="5">
        <f>B2/SUM($B$2:$B$13)</f>
        <v>9.3160005713803715E-2</v>
      </c>
      <c r="D5" s="5">
        <f>C2*12</f>
        <v>1.1179200685656445</v>
      </c>
      <c r="E5" t="str">
        <f>IF(D2&gt;1.1,"?? ???",IF(D2&lt;0.9,"?? ????","? ?????"))</f>
        <v>?? ???</v>
      </c>
    </row>
    <row r="6" spans="1:5" x14ac:dyDescent="0.2">
      <c r="A6" t="s">
        <v>160</v>
      </c>
      <c r="B6" s="1">
        <f>AVERAGE(Data!G$2:G$121)</f>
        <v>38628.65</v>
      </c>
      <c r="C6" s="5">
        <f>B2/SUM($B$2:$B$13)</f>
        <v>9.3160005713803715E-2</v>
      </c>
      <c r="D6" s="5">
        <f>C2*12</f>
        <v>1.1179200685656445</v>
      </c>
      <c r="E6" t="str">
        <f>IF(D2&gt;1.1,"?? ???",IF(D2&lt;0.9,"?? ????","? ?????"))</f>
        <v>?? ???</v>
      </c>
    </row>
    <row r="7" spans="1:5" x14ac:dyDescent="0.2">
      <c r="A7" t="s">
        <v>160</v>
      </c>
      <c r="B7" s="1">
        <f>AVERAGE(Data!H$2:H$121)</f>
        <v>33460.433333333334</v>
      </c>
      <c r="C7" s="5">
        <f>B2/SUM($B$2:$B$13)</f>
        <v>9.3160005713803715E-2</v>
      </c>
      <c r="D7" s="5">
        <f>C2*12</f>
        <v>1.1179200685656445</v>
      </c>
      <c r="E7" t="str">
        <f>IF(D2&gt;1.1,"?? ???",IF(D2&lt;0.9,"?? ????","? ?????"))</f>
        <v>?? ???</v>
      </c>
    </row>
    <row r="8" spans="1:5" x14ac:dyDescent="0.2">
      <c r="A8" t="s">
        <v>160</v>
      </c>
      <c r="B8" s="1">
        <f>AVERAGE(Data!I$2:I$121)</f>
        <v>30288.033333333333</v>
      </c>
      <c r="C8" s="5">
        <f>B2/SUM($B$2:$B$13)</f>
        <v>9.3160005713803715E-2</v>
      </c>
      <c r="D8" s="5">
        <f>C2*12</f>
        <v>1.1179200685656445</v>
      </c>
      <c r="E8" t="str">
        <f>IF(D2&gt;1.1,"?? ???",IF(D2&lt;0.9,"?? ????","? ?????"))</f>
        <v>?? ???</v>
      </c>
    </row>
    <row r="9" spans="1:5" x14ac:dyDescent="0.2">
      <c r="A9" t="s">
        <v>160</v>
      </c>
      <c r="B9" s="1">
        <f>AVERAGE(Data!J$2:J$121)</f>
        <v>27820.891666666666</v>
      </c>
      <c r="C9" s="5">
        <f>B2/SUM($B$2:$B$13)</f>
        <v>9.3160005713803715E-2</v>
      </c>
      <c r="D9" s="5">
        <f>C2*12</f>
        <v>1.1179200685656445</v>
      </c>
      <c r="E9" t="str">
        <f>IF(D2&gt;1.1,"?? ???",IF(D2&lt;0.9,"?? ????","? ?????"))</f>
        <v>?? ???</v>
      </c>
    </row>
    <row r="10" spans="1:5" x14ac:dyDescent="0.2">
      <c r="A10" t="s">
        <v>160</v>
      </c>
      <c r="B10" s="1">
        <f>AVERAGE(Data!K$2:K$121)</f>
        <v>30544.25</v>
      </c>
      <c r="C10" s="5">
        <f>B2/SUM($B$2:$B$13)</f>
        <v>9.3160005713803715E-2</v>
      </c>
      <c r="D10" s="5">
        <f>C2*12</f>
        <v>1.1179200685656445</v>
      </c>
      <c r="E10" t="str">
        <f>IF(D2&gt;1.1,"?? ???",IF(D2&lt;0.9,"?? ????","? ?????"))</f>
        <v>?? ???</v>
      </c>
    </row>
    <row r="11" spans="1:5" x14ac:dyDescent="0.2">
      <c r="A11" t="s">
        <v>160</v>
      </c>
      <c r="B11" s="1">
        <f>AVERAGE(Data!L$2:L$121)</f>
        <v>34839.300000000003</v>
      </c>
      <c r="C11" s="5">
        <f>B2/SUM($B$2:$B$13)</f>
        <v>9.3160005713803715E-2</v>
      </c>
      <c r="D11" s="5">
        <f>C2*12</f>
        <v>1.1179200685656445</v>
      </c>
      <c r="E11" t="str">
        <f>IF(D2&gt;1.1,"?? ???",IF(D2&lt;0.9,"?? ????","? ?????"))</f>
        <v>?? ???</v>
      </c>
    </row>
    <row r="12" spans="1:5" x14ac:dyDescent="0.2">
      <c r="A12" t="s">
        <v>160</v>
      </c>
      <c r="B12" s="1">
        <f>AVERAGE(Data!M$2:M$121)</f>
        <v>40332.591666666667</v>
      </c>
      <c r="C12" s="5">
        <f>B2/SUM($B$2:$B$13)</f>
        <v>9.3160005713803715E-2</v>
      </c>
      <c r="D12" s="5">
        <f>C2*12</f>
        <v>1.1179200685656445</v>
      </c>
      <c r="E12" t="str">
        <f>IF(D2&gt;1.1,"?? ???",IF(D2&lt;0.9,"?? ????","? ?????"))</f>
        <v>?? ???</v>
      </c>
    </row>
    <row r="13" spans="1:5" x14ac:dyDescent="0.2">
      <c r="A13" t="s">
        <v>160</v>
      </c>
      <c r="B13" s="1">
        <f>AVERAGE(Data!N$2:N$121)</f>
        <v>44784.25</v>
      </c>
      <c r="C13" s="5">
        <f>B2/SUM($B$2:$B$13)</f>
        <v>9.3160005713803715E-2</v>
      </c>
      <c r="D13" s="5">
        <f>C2*12</f>
        <v>1.1179200685656445</v>
      </c>
      <c r="E13" t="str">
        <f>IF(D2&gt;1.1,"?? ???",IF(D2&lt;0.9,"?? ????","? ?????"))</f>
        <v>?? ???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41D1-7499-194B-86EE-2BBD674D61B7}">
  <sheetPr codeName="Sheet5"/>
  <dimension ref="A1:D6"/>
  <sheetViews>
    <sheetView zoomScale="150" workbookViewId="0">
      <selection activeCell="C6" sqref="C6"/>
    </sheetView>
  </sheetViews>
  <sheetFormatPr baseColWidth="10" defaultRowHeight="16" x14ac:dyDescent="0.2"/>
  <cols>
    <col min="1" max="1" width="17.5" bestFit="1" customWidth="1"/>
    <col min="2" max="2" width="8.1640625" bestFit="1" customWidth="1"/>
    <col min="3" max="4" width="9.1640625" bestFit="1" customWidth="1"/>
  </cols>
  <sheetData>
    <row r="1" spans="1:4" x14ac:dyDescent="0.2">
      <c r="A1" s="3" t="s">
        <v>161</v>
      </c>
      <c r="B1" s="3" t="s">
        <v>161</v>
      </c>
      <c r="C1" s="3" t="s">
        <v>162</v>
      </c>
      <c r="D1" s="3" t="s">
        <v>162</v>
      </c>
    </row>
    <row r="2" spans="1:4" x14ac:dyDescent="0.2">
      <c r="A2" t="s">
        <v>21</v>
      </c>
      <c r="B2" t="e">
        <f>Marketing/New_Customers</f>
        <v>#NAME?</v>
      </c>
      <c r="C2" s="6">
        <f>SUM(Data!Q2:Q121)/SUM(Data!R2:R121)</f>
        <v>472.19488263265151</v>
      </c>
      <c r="D2" t="s">
        <v>163</v>
      </c>
    </row>
    <row r="3" spans="1:4" x14ac:dyDescent="0.2">
      <c r="A3" t="s">
        <v>20</v>
      </c>
      <c r="B3" t="e">
        <f>Check*Freq*Margin*(1/Churn)</f>
        <v>#NAME?</v>
      </c>
      <c r="C3" s="6">
        <f>AVERAGE(Data!S2:S121)*AVERAGE(Data!T2:T121)*(1-AVERAGE(Data!P2:P121)/AVERAGE(Data!O2:O121))*(1/AVERAGE(Data!W2:W121))</f>
        <v>54853.48969331049</v>
      </c>
      <c r="D3" t="s">
        <v>164</v>
      </c>
    </row>
    <row r="4" spans="1:4" x14ac:dyDescent="0.2">
      <c r="A4" t="s">
        <v>165</v>
      </c>
      <c r="B4" t="e">
        <f>(Rev-COGS)/Rev</f>
        <v>#NAME?</v>
      </c>
      <c r="C4" s="6">
        <f>(SUM(Data!O2:O121)-SUM(Data!P2:P121))/SUM(Data!O2:O121)</f>
        <v>0.50371708788378877</v>
      </c>
      <c r="D4" t="s">
        <v>166</v>
      </c>
    </row>
    <row r="5" spans="1:4" x14ac:dyDescent="0.2">
      <c r="A5" t="s">
        <v>167</v>
      </c>
      <c r="B5" t="e">
        <f>CAC/(LTV/12)</f>
        <v>#NAME?</v>
      </c>
      <c r="C5" s="6">
        <f>C2/(C3/12)</f>
        <v>0.10329950971711542</v>
      </c>
      <c r="D5" t="s">
        <v>168</v>
      </c>
    </row>
    <row r="6" spans="1:4" x14ac:dyDescent="0.2">
      <c r="A6" t="s">
        <v>169</v>
      </c>
      <c r="B6" t="e">
        <f>Rev/Marketing</f>
        <v>#NAME?</v>
      </c>
      <c r="C6" s="6">
        <f>SUM(Data!O2:O121)/SUM(Data!Q2:Q121)</f>
        <v>8.8536371643081715</v>
      </c>
      <c r="D6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F0EE-D825-AD4C-B338-AEA6ABAB8940}">
  <sheetPr codeName="Sheet6"/>
  <dimension ref="A1:A7"/>
  <sheetViews>
    <sheetView workbookViewId="0"/>
  </sheetViews>
  <sheetFormatPr baseColWidth="10" defaultRowHeight="16" x14ac:dyDescent="0.2"/>
  <cols>
    <col min="1" max="1" width="160" bestFit="1" customWidth="1"/>
  </cols>
  <sheetData>
    <row r="1" spans="1:1" ht="19" x14ac:dyDescent="0.25">
      <c r="A1" s="7" t="s">
        <v>171</v>
      </c>
    </row>
    <row r="3" spans="1:1" x14ac:dyDescent="0.2">
      <c r="A3" t="s">
        <v>172</v>
      </c>
    </row>
    <row r="4" spans="1:1" x14ac:dyDescent="0.2">
      <c r="A4" t="s">
        <v>173</v>
      </c>
    </row>
    <row r="5" spans="1:1" x14ac:dyDescent="0.2">
      <c r="A5" t="s">
        <v>174</v>
      </c>
    </row>
    <row r="7" spans="1:1" x14ac:dyDescent="0.2">
      <c r="A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Data</vt:lpstr>
      <vt:lpstr>ABC_XYZ</vt:lpstr>
      <vt:lpstr>Seasonality</vt:lpstr>
      <vt:lpstr>Unit_Economics</vt:lpstr>
      <vt:lpstr>Cheat_Sheet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Руслан Фролов</dc:creator>
  <cp:lastModifiedBy>Руслан Фролов</cp:lastModifiedBy>
  <dcterms:created xsi:type="dcterms:W3CDTF">2026-05-04T22:26:21Z</dcterms:created>
  <dcterms:modified xsi:type="dcterms:W3CDTF">2026-05-04T23:24:26Z</dcterms:modified>
</cp:coreProperties>
</file>
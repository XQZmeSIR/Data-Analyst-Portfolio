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1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2"/>
    <sheet name="01_Цены_конкурентов" sheetId="2" state="visible" r:id="rId3"/>
    <sheet name="02_Сравнение_поставщиков" sheetId="3" state="visible" r:id="rId4"/>
    <sheet name="03_ABC_анализ" sheetId="4" state="visible" r:id="rId5"/>
    <sheet name="04_XYZ_анализ" sheetId="5" state="visible" r:id="rId6"/>
    <sheet name="05_ABC_XYZ_матрица" sheetId="6" state="visible" r:id="rId7"/>
    <sheet name="06_Юнит_экономика" sheetId="7" state="visible" r:id="rId8"/>
    <sheet name="07_ROI_новый_продукт" sheetId="8" state="visible" r:id="rId9"/>
    <sheet name="08_Сезонность" sheetId="9" state="visible" r:id="rId10"/>
    <sheet name="09_Gap_анализ" sheetId="10" state="visible" r:id="rId11"/>
    <sheet name="10_Бенчмарк_рынков" sheetId="11" state="visible" r:id="rId12"/>
    <sheet name="11_Дашборд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<sst xmlns="http://schemas.openxmlformats.org/spreadsheetml/2006/main" count="496" uniqueCount="317">
  <si>
    <t xml:space="preserve">Pet-проект: Аналитический пакет селлера на маркетплейсе</t>
  </si>
  <si>
    <t xml:space="preserve">Это учебный портфельный проект. Сценарий: я работаю маркетологом-аналитиком у селлера на маркетплейсе РФ (Wildberries / Ozon / Яндекс.Маркет). Ассортимент ~15 SKU из 5 категорий: товары для дома, косметика, спорт, электроника-аксессуары, канцелярия. Задача — разобраться в данных, понять, что работает, что нет, и куда расти. Все цифры синтетические; методология, формулы и структура листов рабочие — переносятся на реальный датасет за 1–2 дня.</t>
  </si>
  <si>
    <t xml:space="preserve">1. Мониторинг цен конкурентов: сравнение нашего магазина с другими селлерами за 8 недель.</t>
  </si>
  <si>
    <t xml:space="preserve">2. Выбор поставщика: скоринговая модель с весами по 10 параметрам.</t>
  </si>
  <si>
    <t xml:space="preserve">3. Ассортимент: ABC по выручке + XYZ по стабильности → матрица 3×3 с готовыми стратегиями.</t>
  </si>
  <si>
    <t xml:space="preserve">4. Юнит-экономика: цена / COGS / маржа / контрибуция / BEP по каждому SKU.</t>
  </si>
  <si>
    <t xml:space="preserve">5. Запуск новой категории: 5-летняя ROI-модель с NPV, IRR, payback и таблицей чувствительности.</t>
  </si>
  <si>
    <t xml:space="preserve">6. Сезонность: помесячные коэффициенты по категориям + прогноз на следующий период.</t>
  </si>
  <si>
    <t xml:space="preserve">7. Gap-анализ: где в ассортименте дыры по категориям с высоким спросом на маркетплейсе.</t>
  </si>
  <si>
    <t xml:space="preserve">8. Бенчмарк рынков: что взять с e-commerce практик РФ / Китая / США / ЕС / Турции.</t>
  </si>
  <si>
    <t xml:space="preserve">9. Дашборд: KPI-сводка для руководителя на одном экране.</t>
  </si>
  <si>
    <t xml:space="preserve">1) Каждый лист отвечает на бизнес-вопрос, а не просто визуализирует данные.</t>
  </si>
  <si>
    <t xml:space="preserve">2) Каждая ячейка-вывод — формула, не «руками вписано». При обновлении данных пересчёт автоматический.</t>
  </si>
  <si>
    <t xml:space="preserve">3) Каждый лист содержит блок «Вывод и рекомендация» — это то, что идёт в отчёт руководителю.</t>
  </si>
  <si>
    <t xml:space="preserve">01_Цены_конкурентов     — еженедельный мониторинг цен у конкурирующих селлеров/площадок.</t>
  </si>
  <si>
    <t xml:space="preserve">02_Сравнение_поставщиков — скоринговая матрица 6 поставщиков по 10 параметрам.</t>
  </si>
  <si>
    <t xml:space="preserve">03_ABC_анализ           — ABC-классификация SKU по выручке, накопительная доля.</t>
  </si>
  <si>
    <t xml:space="preserve">04_XYZ_анализ           — XYZ-классификация SKU по стабильности продаж (CV).</t>
  </si>
  <si>
    <t xml:space="preserve">05_ABC_XYZ_матрица      — совмещённая матрица 3×3 с готовыми стратегиями.</t>
  </si>
  <si>
    <t xml:space="preserve">06_Юнит_экономика       — выручка, COGS, валовая и контрибуционная маржа по SKU.</t>
  </si>
  <si>
    <t xml:space="preserve">07_ROI_новый_продукт    — модель окупаемости запуска новой категории.</t>
  </si>
  <si>
    <t xml:space="preserve">08_Сезонность           — помесячные продажи, сезонные коэффициенты, прогноз.</t>
  </si>
  <si>
    <t xml:space="preserve">09_Gap_анализ           — недопредставленные подкатегории с высоким спросом на маркетплейсе.</t>
  </si>
  <si>
    <t xml:space="preserve">10_Бенчмарк_рынков      — РФ / Китай / США / ЕС / Турция: что заимствовать.</t>
  </si>
  <si>
    <t xml:space="preserve">11_Дашборд              — KPI-сводка для руководителя.</t>
  </si>
  <si>
    <t xml:space="preserve">Excel: ВПР/XLOOKUP, ИНДЕКС-ПОИСКПОЗ, СУММЕСЛИМН, СЧЁТЕСЛИМН, СУММПРОИЗВ, сводные, ранжирование, условное форматирование, диаграммы, ЧПС/ВСД для финансовых моделей.</t>
  </si>
  <si>
    <t xml:space="preserve">Опциональное расширение: Power Query — для подключения выгрузок из личного кабинета маркетплейса; Python (requests + BeautifulSoup) + LLM (n8n / make.com) — для автомониторинга цен конкурентов; DataLens / Power BI — для интерактивного дашборда поверх PostgreSQL.</t>
  </si>
  <si>
    <t xml:space="preserve">Автор: подготовлено как учебный pet-проект.</t>
  </si>
  <si>
    <t xml:space="preserve">01. Мониторинг цен у конкурирующих селлеров/площадок</t>
  </si>
  <si>
    <t xml:space="preserve">Источник: парсер карточек товаров на WB / Ozon / Я.Маркет (n8n + LLM-нормализация). Здесь — последние 8 недель по 3 ключевым SKU.</t>
  </si>
  <si>
    <t xml:space="preserve">Подушка ортопедическая 50×70   (₽/шт)</t>
  </si>
  <si>
    <t xml:space="preserve">Площадка / селлер</t>
  </si>
  <si>
    <t xml:space="preserve">01.09.25</t>
  </si>
  <si>
    <t xml:space="preserve">08.09.25</t>
  </si>
  <si>
    <t xml:space="preserve">15.09.25</t>
  </si>
  <si>
    <t xml:space="preserve">22.09.25</t>
  </si>
  <si>
    <t xml:space="preserve">29.09.25</t>
  </si>
  <si>
    <t xml:space="preserve">06.10.25</t>
  </si>
  <si>
    <t xml:space="preserve">13.10.25</t>
  </si>
  <si>
    <t xml:space="preserve">20.10.25</t>
  </si>
  <si>
    <t xml:space="preserve">Avg 8 нед.</t>
  </si>
  <si>
    <t xml:space="preserve">Δ нед.</t>
  </si>
  <si>
    <t xml:space="preserve">Индекс к нашему</t>
  </si>
  <si>
    <t xml:space="preserve">Наш магазин</t>
  </si>
  <si>
    <t xml:space="preserve">Wildberries TOP-1</t>
  </si>
  <si>
    <t xml:space="preserve">Ozon TOP-1</t>
  </si>
  <si>
    <t xml:space="preserve">Яндекс.Маркет TOP-1</t>
  </si>
  <si>
    <t xml:space="preserve">Сбермегамаркет</t>
  </si>
  <si>
    <t xml:space="preserve">AliExpress (импорт)</t>
  </si>
  <si>
    <t xml:space="preserve">Гантели разборные 10 кг (пара)   (₽/комплект)</t>
  </si>
  <si>
    <t xml:space="preserve">Кабель USB-C → USB-C, 1 м   (₽/шт)</t>
  </si>
  <si>
    <t xml:space="preserve">Вывод и рекомендация</t>
  </si>
  <si>
    <t xml:space="preserve">1. По подушке наш магазин держит средний минимум по площадкам РФ (−8% к ТОП-1 WB). Импортный AliExpress дешевле −20%, но без гарантии доставки и возврата по закону РФ → реальный риск переключения клиентов = низкий.</t>
  </si>
  <si>
    <t xml:space="preserve">2. По гантелям мы дешевле всех площадок РФ, но AliExpress дороже на ~20%. Это важный аргумент для карточки: «российский склад, доставка 1 день».</t>
  </si>
  <si>
    <t xml:space="preserve">3. По USB-C кабелю мы держим средний рынок РФ, AliExpress дешевле на 30% — здесь импорт реально съедает спрос. Рекомендация: продвигать наш кабель через категорию «российская гарантия 12 мес.» в карточке.</t>
  </si>
  <si>
    <t xml:space="preserve">4. Цены растут ~0.4%/нед. (см. столбец Δ нед.). По топ-3 SKU стоит зафиксировать цену до 30.11 — рынок индексируется вверх вместе с ослаблением рубля.</t>
  </si>
  <si>
    <t xml:space="preserve">02. Сравнение поставщиков — скоринговая модель</t>
  </si>
  <si>
    <t xml:space="preserve">Цель: на основе 10 параметров выбрать поставщика для масштабирования закупки топовых SKU. Веса параметров согласовываются с руководителем — модель пересчитывается.</t>
  </si>
  <si>
    <t xml:space="preserve">Веса параметров (Σ = 100%)</t>
  </si>
  <si>
    <t xml:space="preserve">Параметр</t>
  </si>
  <si>
    <t xml:space="preserve">Вес</t>
  </si>
  <si>
    <t xml:space="preserve">Цена / себестоимость</t>
  </si>
  <si>
    <t xml:space="preserve">Качество (рейтинг отзывов)</t>
  </si>
  <si>
    <t xml:space="preserve">Минимальная партия (MOQ)</t>
  </si>
  <si>
    <t xml:space="preserve">Срок поставки</t>
  </si>
  <si>
    <t xml:space="preserve">Условия оплаты</t>
  </si>
  <si>
    <t xml:space="preserve">Сертификация / документы</t>
  </si>
  <si>
    <t xml:space="preserve">Логистика (склады РФ)</t>
  </si>
  <si>
    <t xml:space="preserve">Гибкость (возвраты, кастом)</t>
  </si>
  <si>
    <t xml:space="preserve">Опыт работы с маркетплейсами РФ</t>
  </si>
  <si>
    <t xml:space="preserve">Тех. поддержка / коммуникация</t>
  </si>
  <si>
    <t xml:space="preserve">Параметры по поставщикам (заполняются по запросу КП и из открытых источников)</t>
  </si>
  <si>
    <t xml:space="preserve">Поставщик</t>
  </si>
  <si>
    <t xml:space="preserve">Цена (отн., 100 = базовая)</t>
  </si>
  <si>
    <t xml:space="preserve">Рейтинг (1-5)</t>
  </si>
  <si>
    <t xml:space="preserve">MOQ (шт)</t>
  </si>
  <si>
    <t xml:space="preserve">Срок (дней)</t>
  </si>
  <si>
    <t xml:space="preserve">Оплата</t>
  </si>
  <si>
    <t xml:space="preserve">Сертиф.</t>
  </si>
  <si>
    <t xml:space="preserve">Склады РФ</t>
  </si>
  <si>
    <t xml:space="preserve">Гибкость</t>
  </si>
  <si>
    <t xml:space="preserve">Опыт МП</t>
  </si>
  <si>
    <t xml:space="preserve">Тех. поддержка</t>
  </si>
  <si>
    <t xml:space="preserve">Сводный балл</t>
  </si>
  <si>
    <t xml:space="preserve">Ранг</t>
  </si>
  <si>
    <t xml:space="preserve">Турецкая фабрика TR-Home</t>
  </si>
  <si>
    <t xml:space="preserve">Китайский завод CN-Bulk</t>
  </si>
  <si>
    <t xml:space="preserve">Российская фабрика RU-Plant</t>
  </si>
  <si>
    <t xml:space="preserve">Узбекский поставщик UZ-Home</t>
  </si>
  <si>
    <t xml:space="preserve">Беларусский дистрибьютор BY</t>
  </si>
  <si>
    <t xml:space="preserve">Локальный OEM RU-OEM</t>
  </si>
  <si>
    <t xml:space="preserve">1. Российская фабрика RU-Plant и Беларусский дистрибьютор BY — лидеры по сводному баллу. Они дороже Китая на 10-15%, но компенсируют это сертификацией, складами в РФ и сроками поставки в разы быстрее.</t>
  </si>
  <si>
    <t xml:space="preserve">2. Китайский завод CN-Bulk — самый дешёвый по цене, но MOQ 1000 шт и срок 45 дней делают его невыгодным для нашей ниши быстрой ротации.</t>
  </si>
  <si>
    <t xml:space="preserve">3. Локальный OEM RU-OEM — премиум-вариант для топовых SKU класса A (см. лист 03). Подходит для запуска собственного бренда, но цена на 25% выше базовой.</t>
  </si>
  <si>
    <t xml:space="preserve">4. Рекомендация: для категорий «товары для дома» и «канцелярия» — RU-Plant; для электроники-аксессуаров — CN-Bulk (т.к. цена решает); для премиум-линеек — RU-OEM. Веса можно пересмотреть с руководителем под другую стратегию.</t>
  </si>
  <si>
    <t xml:space="preserve">03. ABC-анализ ассортимента по выручке за 12 мес.</t>
  </si>
  <si>
    <t xml:space="preserve">Метод: сортируем SKU по убыванию выручки → накопительная доля. A: ≤ 80%, B: 80–95%, C: &gt; 95%. Это «кто делает кассу».</t>
  </si>
  <si>
    <t xml:space="preserve">#</t>
  </si>
  <si>
    <t xml:space="preserve">SKU</t>
  </si>
  <si>
    <t xml:space="preserve">Категория</t>
  </si>
  <si>
    <t xml:space="preserve">Выручка / год</t>
  </si>
  <si>
    <t xml:space="preserve">Доля в выручке</t>
  </si>
  <si>
    <t xml:space="preserve">Накопит. доля</t>
  </si>
  <si>
    <t xml:space="preserve">Класс ABC</t>
  </si>
  <si>
    <t xml:space="preserve">Подушка ортопедическая 50×70</t>
  </si>
  <si>
    <t xml:space="preserve">Товары для дома</t>
  </si>
  <si>
    <t xml:space="preserve">Набор постельного белья евро</t>
  </si>
  <si>
    <t xml:space="preserve">Гантели разборные 10 кг</t>
  </si>
  <si>
    <t xml:space="preserve">Спорт</t>
  </si>
  <si>
    <t xml:space="preserve">Кофеварка капельная KS-200</t>
  </si>
  <si>
    <t xml:space="preserve">Шампунь увлажняющий 400 мл</t>
  </si>
  <si>
    <t xml:space="preserve">Косметика и уход</t>
  </si>
  <si>
    <t xml:space="preserve">Наушники TWS базовые</t>
  </si>
  <si>
    <t xml:space="preserve">Электроника-акс.</t>
  </si>
  <si>
    <t xml:space="preserve">Коврик для йоги 6 мм</t>
  </si>
  <si>
    <t xml:space="preserve">Кабель USB-C → USB-C, 1 м</t>
  </si>
  <si>
    <t xml:space="preserve">Колонка Bluetooth портативная</t>
  </si>
  <si>
    <t xml:space="preserve">Крем для лица 50 мл</t>
  </si>
  <si>
    <t xml:space="preserve">Ежедневник А5 датированный</t>
  </si>
  <si>
    <t xml:space="preserve">Канцелярия</t>
  </si>
  <si>
    <t xml:space="preserve">Эспандер кистевой пара</t>
  </si>
  <si>
    <t xml:space="preserve">Парфюм женский 50 мл</t>
  </si>
  <si>
    <t xml:space="preserve">Маска тканевая (упаковка)</t>
  </si>
  <si>
    <t xml:space="preserve">Набор маркеров 12 цветов</t>
  </si>
  <si>
    <t xml:space="preserve">ИТОГО:</t>
  </si>
  <si>
    <t xml:space="preserve">1. ТОП-5 SKU делают ~63% выручки, а ТОП-7 уже ~78%. Это «золотой запас» — приоритет складского запаса, минимум промо-агрессии (не «выжигаем» маржу), контракты с поставщиком RU-Plant на годовые объёмы.</t>
  </si>
  <si>
    <t xml:space="preserve">2. SKU класса C (мелкие позиции 11-15) дают &lt;5% выручки, но занимают место в ассортименте. Кандидаты на ревизию: либо они «long tail» лояльной аудитории, либо выводим из ассортимента и освобождаем ресурсы.</t>
  </si>
  <si>
    <t xml:space="preserve">3. Категория «Косметика и уход» равномерно распределена по классам A-B-C — сбалансированная категория. Категория «Электроника-аксессуары» концентрируется в B → точка роста, если пойти в премиум.</t>
  </si>
  <si>
    <t xml:space="preserve">4. Без XYZ-анализа ABC обманчив: SKU класса A может быть «угасающей звездой». Смотрим парно — лист 04 → лист 05.</t>
  </si>
  <si>
    <t xml:space="preserve">04. XYZ-анализ — стабильность спроса по SKU</t>
  </si>
  <si>
    <t xml:space="preserve">Метод: помесячные продажи за 12 мес. → СКО / Среднее = коэффициент вариации (CV). X: CV &lt; 10%, Y: 10–25%, Z: &gt; 25%.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</si>
  <si>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</si>
  <si>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</si>
  <si>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</si>
  <si>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</si>
  <si>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</si>
  <si>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</si>
  <si>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</si>
  <si>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</si>
  <si>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</si>
  <si>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</si>
  <si>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</si>
  <si>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</si>
  <si>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Среднее</t>
  </si>
  <si>
    <t xml:space="preserve">СКО</t>
  </si>
  <si>
    <t xml:space="preserve">CV</t>
  </si>
  <si>
    <t xml:space="preserve">Класс XYZ</t>
  </si>
  <si>
    <t xml:space="preserve">1. Топовые SKU класса A в основном попадают в X (стабильно) и Y (сезонно): можно планировать «под план», для Y учитывать сезонные коэффициенты.</t>
  </si>
  <si>
    <t xml:space="preserve">2. Хвост ассортимента (мелкие SKU) — в основном Z. Это нормально: их продажи нерегулярны, закупаем под подтверждённый спрос или как long tail.</t>
  </si>
  <si>
    <t xml:space="preserve">3. Категория «Канцелярия» — выраженный Y (август-сентябрь = школа, декабрь = подарки). Под этот пик резервируем рекламный бюджет за 4-6 недель.</t>
  </si>
  <si>
    <t xml:space="preserve">4. Категория «Спорт» — паттерн «январь + весна», но топ-SKU (гантели, коврик) держатся стабильнее остальных за счёт корпоративных закупок.</t>
  </si>
  <si>
    <t xml:space="preserve">5. Без ABC XYZ обманчив: стабильный SKU может приносить 0.5% выручки. Смотрим в паре — лист 05.</t>
  </si>
  <si>
    <t xml:space="preserve">05. Стратегическая матрица ABC × XYZ</t>
  </si>
  <si>
    <t xml:space="preserve">Метод: пересечение классов ABC и XYZ → 9 ячеек × готовая стратегия. Используем для квартальной ассортиментной планёрки.</t>
  </si>
  <si>
    <t xml:space="preserve">Назначение стратегии каждому SKU</t>
  </si>
  <si>
    <t xml:space="preserve">Справочник стратегий</t>
  </si>
  <si>
    <t xml:space="preserve">Код</t>
  </si>
  <si>
    <t xml:space="preserve">Стратегия</t>
  </si>
  <si>
    <t xml:space="preserve">AX</t>
  </si>
  <si>
    <t xml:space="preserve">Защищать. Эксклюзивный сервис, страховой запас, прайс-стабильность.</t>
  </si>
  <si>
    <t xml:space="preserve">AY</t>
  </si>
  <si>
    <t xml:space="preserve">Прогноз с сезонностью. Промо-бюджет под пик. Контракты «по графику закупок».</t>
  </si>
  <si>
    <t xml:space="preserve">AZ</t>
  </si>
  <si>
    <t xml:space="preserve">Гибкое производство, work-on-demand, риск-надбавка, искать причины волатильности.</t>
  </si>
  <si>
    <t xml:space="preserve">BX</t>
  </si>
  <si>
    <t xml:space="preserve">Стандартный сервис, кросс-продажи в А-класс.</t>
  </si>
  <si>
    <t xml:space="preserve">BY</t>
  </si>
  <si>
    <t xml:space="preserve">Промо в низкий сезон, бандлы с А-классом.</t>
  </si>
  <si>
    <t xml:space="preserve">BZ</t>
  </si>
  <si>
    <t xml:space="preserve">Ручной контроль, оптимизация пакетирования, переговоры о предзаказах.</t>
  </si>
  <si>
    <t xml:space="preserve">CX</t>
  </si>
  <si>
    <t xml:space="preserve">Long tail / сервис лояльных. Без активных инвестиций.</t>
  </si>
  <si>
    <t xml:space="preserve">CY</t>
  </si>
  <si>
    <t xml:space="preserve">Минимальные обязательства, без склада.</t>
  </si>
  <si>
    <t xml:space="preserve">CZ</t>
  </si>
  <si>
    <t xml:space="preserve">Кандидаты на вывод из ассортимента.</t>
  </si>
  <si>
    <t xml:space="preserve">1. SKU AX и AY (топ-выручка + предсказуемые) — фундамент бизнеса. Защищаем контрактами с поставщиком, держим страховой запас, не «выжигаем» маржу промо.</t>
  </si>
  <si>
    <t xml:space="preserve">2. AZ (топ-выручка + волатильно) — самая опасная клетка. Нужно понять, почему скачет: реклама нерегулярная? сезонность не учли? конкурент делает атаки?</t>
  </si>
  <si>
    <t xml:space="preserve">3. CZ — приоритет для ассортиментной ревизии. Если SKU не «эмоциональная» позиция (например, не закрывает базовую потребность лояльных) — выводим.</t>
  </si>
  <si>
    <t xml:space="preserve">4. Эта матрица — повестка квартальной ассортиментной планёрки. Каждые 3 мес. пересобираем и обсуждаем с руководителем.</t>
  </si>
  <si>
    <t xml:space="preserve">06. Юнит-экономика по SKU</t>
  </si>
  <si>
    <t xml:space="preserve">Цена → COGS → валовая маржа → контрибуционная маржа → прибыль/год. Прямые ОПЕР — комиссия маркетплейса + логистика + упаковка ≈ 22% от цены.</t>
  </si>
  <si>
    <t xml:space="preserve">Цена ₽</t>
  </si>
  <si>
    <t xml:space="preserve">COGS ₽</t>
  </si>
  <si>
    <t xml:space="preserve">Маржа ₽</t>
  </si>
  <si>
    <t xml:space="preserve">Маржа %</t>
  </si>
  <si>
    <t xml:space="preserve">Объём/год (шт)</t>
  </si>
  <si>
    <t xml:space="preserve">Выручка/год ₽</t>
  </si>
  <si>
    <t xml:space="preserve">Прибыль/год ₽</t>
  </si>
  <si>
    <t xml:space="preserve">Контриб. на ед. ₽</t>
  </si>
  <si>
    <t xml:space="preserve">ИТОГО</t>
  </si>
  <si>
    <t xml:space="preserve">Точка безубыточности (BEP) бизнес-юнита</t>
  </si>
  <si>
    <t xml:space="preserve">Постоянные затраты в год (ФОТ, аренда, маркетинг постоянный, амортизация)</t>
  </si>
  <si>
    <t xml:space="preserve">Средняя контрибуция на единицу (по топ-6 SKU)</t>
  </si>
  <si>
    <t xml:space="preserve">BEP (ед./год)</t>
  </si>
  <si>
    <t xml:space="preserve">Текущий объём год по топ-6</t>
  </si>
  <si>
    <t xml:space="preserve">Запас прочности</t>
  </si>
  <si>
    <t xml:space="preserve">1. Самые маржинальные в % — шампунь и подушка (50%+ валовая, ~30% контрибуционная). Самый маржинальный в ₽ — кофеварка (1810 ₽ валовой на ед., 813 ₽ контрибуции).</t>
  </si>
  <si>
    <t xml:space="preserve">2. Гантели и наушники — на грани: после комиссии маркетплейса 22% контрибуция падает до ~10–15%. Это «оборотные» SKU: важны не для прибыли, а для трафика на карточку магазина.</t>
  </si>
  <si>
    <t xml:space="preserve">3. BEP бизнес-юнита: ~6 200 ед./год. Текущий объём ~12 тыс. → запас прочности ~50%. Здоровый показатель.</t>
  </si>
  <si>
    <t xml:space="preserve">4. Если хотим снизить цену гантелей на 10% (промо), маржа упадёт с 46% до 39%, контрибуция уйдёт в ноль — нельзя без компенсации объёмом ×1.5.</t>
  </si>
  <si>
    <t xml:space="preserve">07. ROI / payback запуска новой категории «Smart-home аксессуары»</t>
  </si>
  <si>
    <t xml:space="preserve">5-летняя финансовая модель. Жёлтые ячейки = допущения. Жмёшь жёлтые — обновляются NPV/IRR/Payback и таблица чувствительности.</t>
  </si>
  <si>
    <t xml:space="preserve">Допущения (вводятся вручную)</t>
  </si>
  <si>
    <t xml:space="preserve">Инвестиция (CAPEX), ₽</t>
  </si>
  <si>
    <t xml:space="preserve">Цена за единицу, ₽</t>
  </si>
  <si>
    <t xml:space="preserve">COGS на единицу, ₽</t>
  </si>
  <si>
    <t xml:space="preserve">Объём год 1 (шт)</t>
  </si>
  <si>
    <t xml:space="preserve">Темп роста объёма год к году</t>
  </si>
  <si>
    <t xml:space="preserve">Постоянные затраты в год, ₽</t>
  </si>
  <si>
    <t xml:space="preserve">Ставка дисконта (WACC)</t>
  </si>
  <si>
    <t xml:space="preserve">Горизонт (лет)</t>
  </si>
  <si>
    <t xml:space="preserve">Прогноз денежного потока</t>
  </si>
  <si>
    <t xml:space="preserve">Год 0</t>
  </si>
  <si>
    <t xml:space="preserve">Год 1</t>
  </si>
  <si>
    <t xml:space="preserve">Год 2</t>
  </si>
  <si>
    <t xml:space="preserve">Год 3</t>
  </si>
  <si>
    <t xml:space="preserve">Год 4</t>
  </si>
  <si>
    <t xml:space="preserve">Год 5</t>
  </si>
  <si>
    <t xml:space="preserve">Объём (шт)</t>
  </si>
  <si>
    <t xml:space="preserve">Выручка, ₽</t>
  </si>
  <si>
    <t xml:space="preserve">COGS, ₽</t>
  </si>
  <si>
    <t xml:space="preserve">Постоянные, ₽</t>
  </si>
  <si>
    <t xml:space="preserve">Операционный CF, ₽</t>
  </si>
  <si>
    <t xml:space="preserve">CAPEX, ₽</t>
  </si>
  <si>
    <t xml:space="preserve">Чистый CF, ₽</t>
  </si>
  <si>
    <t xml:space="preserve">Накопит. CF, ₽</t>
  </si>
  <si>
    <t xml:space="preserve">Финансовые метрики</t>
  </si>
  <si>
    <t xml:space="preserve">NPV (чистая приведённая стоимость), ₽</t>
  </si>
  <si>
    <t xml:space="preserve">IRR (внутренняя норма доходности)</t>
  </si>
  <si>
    <t xml:space="preserve">Payback (период окупаемости)</t>
  </si>
  <si>
    <t xml:space="preserve">ROI 5 лет</t>
  </si>
  <si>
    <t xml:space="preserve">Таблица чувствительности NPV: цена × объём год 1</t>
  </si>
  <si>
    <t xml:space="preserve">Цена ₽ ↓ / Объём год 1 →</t>
  </si>
  <si>
    <t xml:space="preserve">1. Базовый сценарий (цена 2 290, объём 3 500): NPV положительный, IRR &gt; WACC. Запуск рентабелен.</t>
  </si>
  <si>
    <t xml:space="preserve">2. Чувствительность: при просадке цены до 2 090 ₽ и объёма до 2 500 шт NPV уходит в минус. Это «дно» переговоров с поставщиком/контракта с маркетплейсом.</t>
  </si>
  <si>
    <t xml:space="preserve">3. Перед запуском нужно: подтвердить контракт с поставщиком на ≥ 3 000 шт год 1 на оптовой цене ≤ 1 120 ₽, иначе модель не сходится.</t>
  </si>
  <si>
    <t xml:space="preserve">4. Решение: GO с условиями — фиксируем объём, контролируем COGS, в первый месяц мониторим продажи неделя-к-неделе. Если объём &lt; плана на 30% за 30 дней — пересматриваем модель.</t>
  </si>
  <si>
    <t xml:space="preserve">08. Сезонность по категориям и прогноз на следующий период</t>
  </si>
  <si>
    <t xml:space="preserve">Метод: помесячные продажи за 12 мес. → сезонный коэффициент = месяц / среднее. Сумма коэффициентов ≈ 12. Прогноз = годовой_план / 12 × коэф.</t>
  </si>
  <si>
    <t xml:space="preserve">Сезонные коэффициенты (месяц / среднее)</t>
  </si>
  <si>
    <t xml:space="preserve">Прогноз на следующий год (при росте +20% к текущему)</t>
  </si>
  <si>
    <t xml:space="preserve">1. Q4 (ноябрь-декабрь) — главный пик для большинства категорий, особенно товары для дома и электроника. Резервируем рекламный бюджет за 6-8 недель до пика, страховой запас на склад МП — за 4 недели.</t>
  </si>
  <si>
    <t xml:space="preserve">2. «Канцелярия» — выраженный пик август-сентябрь (school season) + декабрь. Если хотим расти в категории, контракты с поставщиком фиксируем до конца июня.</t>
  </si>
  <si>
    <t xml:space="preserve">3. «Спорт» имеет январский пик («новогодние обещания») и весенний (готовимся к лету). Промо-кампании запускаем за 2 недели до пика.</t>
  </si>
  <si>
    <t xml:space="preserve">4. «Косметика» имеет всплеск в марте (8 марта) и декабре (новогодние подарки). Бандлы и подарочные наборы — ключевой инструмент.</t>
  </si>
  <si>
    <t xml:space="preserve">09. Gap-анализ ассортимента — куда расти</t>
  </si>
  <si>
    <t xml:space="preserve">Метод: для каждой подкатегории — общий объём продаж на маркетплейсе vs. наша доля. Учитываем тех. барьер для входа. Приоритет = сигнал «куда вкладываться».</t>
  </si>
  <si>
    <t xml:space="preserve">Подкатегория</t>
  </si>
  <si>
    <t xml:space="preserve">Объём подкат. на МП, ₽/год</t>
  </si>
  <si>
    <t xml:space="preserve">Наша выручка, ₽/год</t>
  </si>
  <si>
    <t xml:space="preserve">Наша доля</t>
  </si>
  <si>
    <t xml:space="preserve">Средний чек, ₽</t>
  </si>
  <si>
    <t xml:space="preserve">Барьер входа (1-5)</t>
  </si>
  <si>
    <t xml:space="preserve">Приоритет</t>
  </si>
  <si>
    <t xml:space="preserve">Действие</t>
  </si>
  <si>
    <t xml:space="preserve">Smart-home аксессуары</t>
  </si>
  <si>
    <t xml:space="preserve">Eco-косметика</t>
  </si>
  <si>
    <t xml:space="preserve">Functional спорт-аксесс.</t>
  </si>
  <si>
    <t xml:space="preserve">Премиум канцелярия</t>
  </si>
  <si>
    <t xml:space="preserve">DIY товары для дома</t>
  </si>
  <si>
    <t xml:space="preserve">Уход для волос (премиум)</t>
  </si>
  <si>
    <t xml:space="preserve">Аксессуары для гаджетов</t>
  </si>
  <si>
    <t xml:space="preserve">1. «Smart-home аксессуары» (180 млн ₽/год на МП, наш 0) и «DIY товары для дома» (96 млн ₽/год) — крупнейшие GO-возможности. Барьер 3-4 значит, нужен партнёр-поставщик и тест 1-2 SKU.</t>
  </si>
  <si>
    <t xml:space="preserve">2. «Аксессуары для гаджетов» — наша доля 2.3% при низком барьере. Можем расти просто за счёт расширения SKU линейки в существующей категории.</t>
  </si>
  <si>
    <t xml:space="preserve">3. «Eco-косметика» — растущий тренд, наша доля 0.5%. Запуск 2-3 SKU тестово, через 3 мес. оценить юнит-экономику.</t>
  </si>
  <si>
    <t xml:space="preserve">4. NO-GO: ничего критичного не отсеивается, потому что барьеры в e-commerce низкие. Все WAIT можно тестировать после Smart-home.</t>
  </si>
  <si>
    <t xml:space="preserve">5. Этот лист — основной вход в стратегию роста на 2026 год. Должен обсуждаться на квартальном strategy-call.</t>
  </si>
  <si>
    <t xml:space="preserve">10. Бенчмарк e-commerce рынков — что заимствовать у лидеров</t>
  </si>
  <si>
    <t xml:space="preserve">5 рынков-эталонов. По каждому: масштаб, ключевые игроки, что заимствовать конкретно для нашего магазина-селлера, барьер.</t>
  </si>
  <si>
    <t xml:space="preserve">Страна</t>
  </si>
  <si>
    <t xml:space="preserve">Объём e-commerce, $ млрд/год</t>
  </si>
  <si>
    <t xml:space="preserve">Ключевые маркетплейсы</t>
  </si>
  <si>
    <t xml:space="preserve">Что заимствовать (конкретно)</t>
  </si>
  <si>
    <t xml:space="preserve">Барьер для нас</t>
  </si>
  <si>
    <t xml:space="preserve">Приоритет 1-5</t>
  </si>
  <si>
    <t xml:space="preserve">Россия</t>
  </si>
  <si>
    <t xml:space="preserve">Wildberries, Ozon, Я.Маркет, Сбермегамаркет</t>
  </si>
  <si>
    <t xml:space="preserve">Рекомендательные алгоритмы WB; работа с отзывами и рейтингом; программа лояльности селлеров; FBO логистика.</t>
  </si>
  <si>
    <t xml:space="preserve">—</t>
  </si>
  <si>
    <t xml:space="preserve">Китай</t>
  </si>
  <si>
    <t xml:space="preserve">Taobao, JD.com, Pinduoduo, Tmall</t>
  </si>
  <si>
    <t xml:space="preserve">Live-commerce (продажи в стримах); групповые скидки (Pinduoduo-модель); интеграция с социальными сетями; «магазин внутри магазина».</t>
  </si>
  <si>
    <t xml:space="preserve">Регуляторика РФ, культурный лаг.</t>
  </si>
  <si>
    <t xml:space="preserve">США</t>
  </si>
  <si>
    <t xml:space="preserve">Amazon, eBay, Walmart, Shopify</t>
  </si>
  <si>
    <t xml:space="preserve">FBA-логистика как стандарт; A/B-тесты карточек товаров; автоматизация рекламы (Sponsored Products); подписочные модели (Subscribe &amp; Save).</t>
  </si>
  <si>
    <t xml:space="preserve">Технологический разрыв, бюджеты.</t>
  </si>
  <si>
    <t xml:space="preserve">ЕС</t>
  </si>
  <si>
    <t xml:space="preserve">Amazon EU, Otto, Zalando, Allegro</t>
  </si>
  <si>
    <t xml:space="preserve">Eco-сертификация и ESG как marketing-edge; «right to return» как стандарт UX; локальные нишевые маркетплейсы по странам.</t>
  </si>
  <si>
    <t xml:space="preserve">Регуляторика, требования к sustainability.</t>
  </si>
  <si>
    <t xml:space="preserve">Турция</t>
  </si>
  <si>
    <t xml:space="preserve">Trendyol, Hepsiburada, N11</t>
  </si>
  <si>
    <t xml:space="preserve">Быстрая доставка как ключевой UX (Trendyol Express); работа с инфлюенсерами; экспортные модели в СНГ-страны.</t>
  </si>
  <si>
    <t xml:space="preserve">Логистика и таможня для PR-импорта.</t>
  </si>
  <si>
    <t xml:space="preserve">1. РФ: ориентируемся на лидеров (WB, Ozon) — это наш ближайший рынок. Главное — алгоритмы рекомендаций и работа с отзывами.</t>
  </si>
  <si>
    <t xml:space="preserve">2. Китай: live-commerce (продажи в прямом эфире) — растущий тренд в РФ. На WB/Ozon уже есть прямые эфиры, тестируем для топ-3 SKU.</t>
  </si>
  <si>
    <t xml:space="preserve">3. США: A/B-тесты карточек — копируем как процесс. На WB можно через изменение фото/title и сравнение CTR.</t>
  </si>
  <si>
    <t xml:space="preserve">4. ЕС: eco-сертификация — растущий тренд в косметике/товарах для дома. Если выходим в Eco-косметику (см. лист 09), сертификат нужен.</t>
  </si>
  <si>
    <t xml:space="preserve">5. Турция: подход к быстрой доставке — копируем через FBO + страховой запас на ключевых складах МП.</t>
  </si>
  <si>
    <t xml:space="preserve">11. KPI-дашборд для руководителя — недельный отчёт</t>
  </si>
  <si>
    <t xml:space="preserve">Сводка ключевых метрик на одном экране. Источник — листы 01–10. Формулы автоматически пересчитываются при обновлении данных.</t>
  </si>
  <si>
    <t xml:space="preserve">Выручка топ-6, ₽</t>
  </si>
  <si>
    <t xml:space="preserve">Прибыль топ-6, ₽</t>
  </si>
  <si>
    <t xml:space="preserve">Средняя маржа %</t>
  </si>
  <si>
    <t xml:space="preserve">Доля A-класса</t>
  </si>
  <si>
    <t xml:space="preserve">Топ-5 SKU по выручке (из листа 03)</t>
  </si>
  <si>
    <t xml:space="preserve">Выручка ₽</t>
  </si>
  <si>
    <t xml:space="preserve">Топ-3 ниши роста (из gap-анализа)</t>
  </si>
  <si>
    <t xml:space="preserve">Объём подкат., ₽/год</t>
  </si>
  <si>
    <t xml:space="preserve">Вывод недели (для руководителя)</t>
  </si>
  <si>
    <t xml:space="preserve">1. По недельной выручке мы в плане. Маржа в норме (~40% средневзвешенно).</t>
  </si>
  <si>
    <t xml:space="preserve">2. Класс A делает 63% выручки — концентрация в норме (целевой коридор 60-70%).</t>
  </si>
  <si>
    <t xml:space="preserve">3. По топ-нише «Smart-home аксессуары» нужно решение: запускаем тест 2-3 SKU в Q4 или ждём Q1.</t>
  </si>
  <si>
    <t xml:space="preserve">4. Цены по подушке у нас лучшие на рынке РФ — значит, можем поднять цену на ~3-5% без риска.</t>
  </si>
  <si>
    <t xml:space="preserve">5. Запросы на следующую неделю: подтвердить контракт с RU-Plant; согласовать креативы для Q4-кампании.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</si>
</sst>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%"/>
    <numFmt numFmtId="168" formatCode="#,##0&quot;  ₽&quot;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2"/>
      <charset val="1"/>
    </font>
    <font>
      <i val="true"/>
      <sz val="11"/>
      <color rgb="FF595959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00"/>
      </patternFill>
    </fill>
    <fill>
      <patternFill patternType="solid">
        <fgColor rgb="FF2E75B6"/>
        <bgColor rgb="FF416A9C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EB9C"/>
      </patternFill>
    </fill>
    <fill>
      <patternFill patternType="solid">
        <fgColor rgb="FFFFE699"/>
        <bgColor rgb="FFFFEB9C"/>
      </patternFill>
    </fill>
    <fill>
      <patternFill patternType="solid">
        <fgColor rgb="FFD9E1F2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9C0006"/>
      </font>
      <fill>
        <patternFill>
          <bgColor rgb="FFFFC7CE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006100"/>
      </font>
      <fill>
        <patternFill>
          <bgColor rgb="FFC6EFCE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9C5700"/>
      </font>
      <fill>
        <patternFill>
          <bgColor rgb="FFFFEB9C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9BBB59"/>
      <rgbColor rgb="FF800080"/>
      <rgbColor rgb="FF4A7EBB"/>
      <rgbColor rgb="FFAABAD7"/>
      <rgbColor rgb="FF878787"/>
      <rgbColor rgb="FF8064A2"/>
      <rgbColor rgb="FF9F423F"/>
      <rgbColor rgb="FFFFF2CC"/>
      <rgbColor rgb="FFD9E1F2"/>
      <rgbColor rgb="FF660066"/>
      <rgbColor rgb="FFCC7C3A"/>
      <rgbColor rgb="FF416A9C"/>
      <rgbColor rgb="FFBDD7E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46AAC4"/>
      <rgbColor rgb="FFD9D9D9"/>
      <rgbColor rgb="FFC6EFCE"/>
      <rgbColor rgb="FFFFEB9C"/>
      <rgbColor rgb="FFC5D6AC"/>
      <rgbColor rgb="FFD8AAA9"/>
      <rgbColor rgb="FFCC99FF"/>
      <rgbColor rgb="FFFFC7CE"/>
      <rgbColor rgb="FF2E75B6"/>
      <rgbColor rgb="FF4BACC6"/>
      <rgbColor rgb="FF98B855"/>
      <rgbColor rgb="FFFFCC00"/>
      <rgbColor rgb="FFF79646"/>
      <rgbColor rgb="FFC0504D"/>
      <rgbColor rgb="FF7D5FA0"/>
      <rgbColor rgb="FF809B49"/>
      <rgbColor rgb="FF1F3864"/>
      <rgbColor rgb="FF3E8EA4"/>
      <rgbColor rgb="FF003300"/>
      <rgbColor rgb="FF333300"/>
      <rgbColor rgb="FF9C5700"/>
      <rgbColor rgb="FFBE4B48"/>
      <rgbColor rgb="FF6A528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Сезонные коэффициенты по категориям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08_Сезонность!$A$13</c:f>
              <c:strCache>
                <c:ptCount val="1"/>
                <c:pt idx="0">
                  <c:v>Товары для дома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08_Сезонность!$B$12:$M$12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08_Сезонность!$B$13:$M$13</c:f>
              <c:numCache>
                <c:formatCode>General</c:formatCode>
                <c:ptCount val="12"/>
                <c:pt idx="0">
                  <c:v>0.83832131603399</c:v>
                </c:pt>
                <c:pt idx="1">
                  <c:v>0.808605291132664</c:v>
                </c:pt>
                <c:pt idx="2">
                  <c:v>0.959538722397622</c:v>
                </c:pt>
                <c:pt idx="3">
                  <c:v>0.93541978460365</c:v>
                </c:pt>
                <c:pt idx="4">
                  <c:v>0.951836432897902</c:v>
                </c:pt>
                <c:pt idx="5">
                  <c:v>0.876227241490911</c:v>
                </c:pt>
                <c:pt idx="6">
                  <c:v>0.864518434952747</c:v>
                </c:pt>
                <c:pt idx="7">
                  <c:v>0.822651437316493</c:v>
                </c:pt>
                <c:pt idx="8">
                  <c:v>0.945192885791542</c:v>
                </c:pt>
                <c:pt idx="9">
                  <c:v>1.02151322783166</c:v>
                </c:pt>
                <c:pt idx="10">
                  <c:v>1.50131882209382</c:v>
                </c:pt>
                <c:pt idx="11">
                  <c:v>1.474856403457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08_Сезонность!$A$14</c:f>
              <c:strCache>
                <c:ptCount val="1"/>
                <c:pt idx="0">
                  <c:v>Косметика и уход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08_Сезонность!$B$12:$M$12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08_Сезонность!$B$14:$M$14</c:f>
              <c:numCache>
                <c:formatCode>General</c:formatCode>
                <c:ptCount val="12"/>
                <c:pt idx="0">
                  <c:v>0.906308215862585</c:v>
                </c:pt>
                <c:pt idx="1">
                  <c:v>0.989393711586699</c:v>
                </c:pt>
                <c:pt idx="2">
                  <c:v>1.22628184911915</c:v>
                </c:pt>
                <c:pt idx="3">
                  <c:v>0.938806418963519</c:v>
                </c:pt>
                <c:pt idx="4">
                  <c:v>0.95131228638904</c:v>
                </c:pt>
                <c:pt idx="5">
                  <c:v>0.861598433397386</c:v>
                </c:pt>
                <c:pt idx="6">
                  <c:v>0.844771757147258</c:v>
                </c:pt>
                <c:pt idx="7">
                  <c:v>0.778105885027797</c:v>
                </c:pt>
                <c:pt idx="8">
                  <c:v>0.851996941604448</c:v>
                </c:pt>
                <c:pt idx="9">
                  <c:v>0.919190882020741</c:v>
                </c:pt>
                <c:pt idx="10">
                  <c:v>0.994754154870697</c:v>
                </c:pt>
                <c:pt idx="11">
                  <c:v>1.73747946401068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08_Сезонность!$A$15</c:f>
              <c:strCache>
                <c:ptCount val="1"/>
                <c:pt idx="0">
                  <c:v>Спорт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08_Сезонность!$B$12:$M$12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08_Сезонность!$B$15:$M$15</c:f>
              <c:numCache>
                <c:formatCode>General</c:formatCode>
                <c:ptCount val="12"/>
                <c:pt idx="0">
                  <c:v>1.37976806185717</c:v>
                </c:pt>
                <c:pt idx="1">
                  <c:v>1.27898487933988</c:v>
                </c:pt>
                <c:pt idx="2">
                  <c:v>1.22140797977034</c:v>
                </c:pt>
                <c:pt idx="3">
                  <c:v>1.12414820048143</c:v>
                </c:pt>
                <c:pt idx="4">
                  <c:v>1.07262341223451</c:v>
                </c:pt>
                <c:pt idx="5">
                  <c:v>0.973428804013756</c:v>
                </c:pt>
                <c:pt idx="6">
                  <c:v>1.02803840628435</c:v>
                </c:pt>
                <c:pt idx="7">
                  <c:v>0.868568210851585</c:v>
                </c:pt>
                <c:pt idx="8">
                  <c:v>0.785538447817415</c:v>
                </c:pt>
                <c:pt idx="9">
                  <c:v>0.831655368214699</c:v>
                </c:pt>
                <c:pt idx="10">
                  <c:v>0.82484989074617</c:v>
                </c:pt>
                <c:pt idx="11">
                  <c:v>0.610988338388709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08_Сезонность!$A$16</c:f>
              <c:strCache>
                <c:ptCount val="1"/>
                <c:pt idx="0">
                  <c:v>Электроника-акс.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08_Сезонность!$B$12:$M$12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08_Сезонность!$B$16:$M$16</c:f>
              <c:numCache>
                <c:formatCode>General</c:formatCode>
                <c:ptCount val="12"/>
                <c:pt idx="0">
                  <c:v>0.960498718155095</c:v>
                </c:pt>
                <c:pt idx="1">
                  <c:v>0.884434921689704</c:v>
                </c:pt>
                <c:pt idx="2">
                  <c:v>0.947785734846436</c:v>
                </c:pt>
                <c:pt idx="3">
                  <c:v>0.936195604853962</c:v>
                </c:pt>
                <c:pt idx="4">
                  <c:v>0.952500767203802</c:v>
                </c:pt>
                <c:pt idx="5">
                  <c:v>0.928280916330775</c:v>
                </c:pt>
                <c:pt idx="6">
                  <c:v>0.867768162509228</c:v>
                </c:pt>
                <c:pt idx="7">
                  <c:v>0.815236707153353</c:v>
                </c:pt>
                <c:pt idx="8">
                  <c:v>0.951266104341303</c:v>
                </c:pt>
                <c:pt idx="9">
                  <c:v>0.997369700247329</c:v>
                </c:pt>
                <c:pt idx="10">
                  <c:v>1.66334304199678</c:v>
                </c:pt>
                <c:pt idx="11">
                  <c:v>1.09531962067224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08_Сезонность!$A$17</c:f>
              <c:strCache>
                <c:ptCount val="1"/>
                <c:pt idx="0">
                  <c:v>Канцелярия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08_Сезонность!$B$12:$M$12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08_Сезонность!$B$17:$M$17</c:f>
              <c:numCache>
                <c:formatCode>General</c:formatCode>
                <c:ptCount val="12"/>
                <c:pt idx="0">
                  <c:v>0.606508844390853</c:v>
                </c:pt>
                <c:pt idx="1">
                  <c:v>0.616007001765276</c:v>
                </c:pt>
                <c:pt idx="2">
                  <c:v>0.613667428864481</c:v>
                </c:pt>
                <c:pt idx="3">
                  <c:v>0.611772883417641</c:v>
                </c:pt>
                <c:pt idx="4">
                  <c:v>0.638703401917009</c:v>
                </c:pt>
                <c:pt idx="5">
                  <c:v>0.689283950826586</c:v>
                </c:pt>
                <c:pt idx="6">
                  <c:v>1.00426166766621</c:v>
                </c:pt>
                <c:pt idx="7">
                  <c:v>1.97487925981339</c:v>
                </c:pt>
                <c:pt idx="8">
                  <c:v>2.12470093095505</c:v>
                </c:pt>
                <c:pt idx="9">
                  <c:v>0.95378283931754</c:v>
                </c:pt>
                <c:pt idx="10">
                  <c:v>0.627908307391058</c:v>
                </c:pt>
                <c:pt idx="11">
                  <c:v>1.53852348367491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533784"/>
        <c:axId val="64498231"/>
      </c:lineChart>
      <c:catAx>
        <c:axId val="695337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98231"/>
        <c:crosses val="autoZero"/>
        <c:auto val="1"/>
        <c:lblAlgn val="ctr"/>
        <c:lblOffset val="100"/>
        <c:noMultiLvlLbl val="0"/>
      </c:catAx>
      <c:valAx>
        <c:axId val="64498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Коэффициент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337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Структура выручки по категориям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"Структура выручки по категориям"</c:f>
              <c:strCache>
                <c:ptCount val="1"/>
                <c:pt idx="0">
                  <c:v>Структура выручки по категориям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d8aaa9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c5d6a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03_ABC_анализ!$C$5:$C$19</c:f>
              <c:strCache>
                <c:ptCount val="15"/>
                <c:pt idx="0">
                  <c:v>Товары для дома</c:v>
                </c:pt>
                <c:pt idx="1">
                  <c:v>Товары для дома</c:v>
                </c:pt>
                <c:pt idx="2">
                  <c:v>Спорт</c:v>
                </c:pt>
                <c:pt idx="3">
                  <c:v>Товары для дома</c:v>
                </c:pt>
                <c:pt idx="4">
                  <c:v>Косметика и уход</c:v>
                </c:pt>
                <c:pt idx="5">
                  <c:v>Электроника-акс.</c:v>
                </c:pt>
                <c:pt idx="6">
                  <c:v>Спорт</c:v>
                </c:pt>
                <c:pt idx="7">
                  <c:v>Электроника-акс.</c:v>
                </c:pt>
                <c:pt idx="8">
                  <c:v>Электроника-акс.</c:v>
                </c:pt>
                <c:pt idx="9">
                  <c:v>Косметика и уход</c:v>
                </c:pt>
                <c:pt idx="10">
                  <c:v>Канцелярия</c:v>
                </c:pt>
                <c:pt idx="11">
                  <c:v>Спорт</c:v>
                </c:pt>
                <c:pt idx="12">
                  <c:v>Косметика и уход</c:v>
                </c:pt>
                <c:pt idx="13">
                  <c:v>Косметика и уход</c:v>
                </c:pt>
                <c:pt idx="14">
                  <c:v>Канцелярия</c:v>
                </c:pt>
              </c:strCache>
            </c:strRef>
          </c:cat>
          <c:val>
            <c:numRef>
              <c:f>03_ABC_анализ!$D$5:$D$19</c:f>
              <c:numCache>
                <c:formatCode>General</c:formatCode>
                <c:ptCount val="15"/>
                <c:pt idx="0">
                  <c:v>4850000</c:v>
                </c:pt>
                <c:pt idx="1">
                  <c:v>3920000</c:v>
                </c:pt>
                <c:pt idx="2">
                  <c:v>3410000</c:v>
                </c:pt>
                <c:pt idx="3">
                  <c:v>2980000</c:v>
                </c:pt>
                <c:pt idx="4">
                  <c:v>2540000</c:v>
                </c:pt>
                <c:pt idx="5">
                  <c:v>2120000</c:v>
                </c:pt>
                <c:pt idx="6">
                  <c:v>1830000</c:v>
                </c:pt>
                <c:pt idx="7">
                  <c:v>1640000</c:v>
                </c:pt>
                <c:pt idx="8">
                  <c:v>1350000</c:v>
                </c:pt>
                <c:pt idx="9">
                  <c:v>1120000</c:v>
                </c:pt>
                <c:pt idx="10">
                  <c:v>780000</c:v>
                </c:pt>
                <c:pt idx="11">
                  <c:v>540000</c:v>
                </c:pt>
                <c:pt idx="12">
                  <c:v>410000</c:v>
                </c:pt>
                <c:pt idx="13">
                  <c:v>280000</c:v>
                </c:pt>
                <c:pt idx="14">
                  <c:v>160000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Цены конкурентов: подушка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"Подушка ортопедическая, последняя неделя"</c:f>
              <c:strCache>
                <c:ptCount val="1"/>
                <c:pt idx="0">
                  <c:v>Подушка ортопедическая, последняя неделя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01_Цены_конкурентов!$A$6:$A$11</c:f>
              <c:strCache>
                <c:ptCount val="6"/>
                <c:pt idx="0">
                  <c:v>Площадка / селлер</c:v>
                </c:pt>
                <c:pt idx="1">
                  <c:v>Наш магазин</c:v>
                </c:pt>
                <c:pt idx="2">
                  <c:v>Wildberries TOP-1</c:v>
                </c:pt>
                <c:pt idx="3">
                  <c:v>Ozon TOP-1</c:v>
                </c:pt>
                <c:pt idx="4">
                  <c:v>Яндекс.Маркет TOP-1</c:v>
                </c:pt>
                <c:pt idx="5">
                  <c:v>Сбермегамаркет</c:v>
                </c:pt>
              </c:strCache>
            </c:strRef>
          </c:cat>
          <c:val>
            <c:numRef>
              <c:f>01_Цены_конкурентов!$I$6:$I$11</c:f>
              <c:numCache>
                <c:formatCode>General</c:formatCode>
                <c:ptCount val="6"/>
                <c:pt idx="1">
                  <c:v>1479</c:v>
                </c:pt>
                <c:pt idx="2">
                  <c:v>1667</c:v>
                </c:pt>
                <c:pt idx="3">
                  <c:v>1679</c:v>
                </c:pt>
                <c:pt idx="4">
                  <c:v>1777</c:v>
                </c:pt>
                <c:pt idx="5">
                  <c:v>1845</c:v>
                </c:pt>
              </c:numCache>
            </c:numRef>
          </c:val>
        </c:ser>
        <c:gapWidth val="150"/>
        <c:overlap val="0"/>
        <c:axId val="13767046"/>
        <c:axId val="97529161"/>
      </c:barChart>
      <c:catAx>
        <c:axId val="137670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29161"/>
        <c:crosses val="autoZero"/>
        <c:auto val="1"/>
        <c:lblAlgn val="ctr"/>
        <c:lblOffset val="100"/>
        <c:noMultiLvlLbl val="0"/>
      </c:catAx>
      <c:valAx>
        <c:axId val="97529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670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7</xdr:col>
      <xdr:colOff>523440</xdr:colOff>
      <xdr:row>42</xdr:row>
      <xdr:rowOff>190080</xdr:rowOff>
    </xdr:to>
    <xdr:graphicFrame>
      <xdr:nvGraphicFramePr>
        <xdr:cNvPr id="0" name="Chart 1"/>
        <xdr:cNvGraphicFramePr/>
      </xdr:nvGraphicFramePr>
      <xdr:xfrm>
        <a:off x="0" y="5886360"/>
        <a:ext cx="89694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9</xdr:col>
      <xdr:colOff>218880</xdr:colOff>
      <xdr:row>21</xdr:row>
      <xdr:rowOff>18720</xdr:rowOff>
    </xdr:to>
    <xdr:graphicFrame>
      <xdr:nvGraphicFramePr>
        <xdr:cNvPr id="1" name="Chart 1"/>
        <xdr:cNvGraphicFramePr/>
      </xdr:nvGraphicFramePr>
      <xdr:xfrm>
        <a:off x="8318520" y="1752480"/>
        <a:ext cx="596880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0</xdr:rowOff>
    </xdr:from>
    <xdr:to>
      <xdr:col>9</xdr:col>
      <xdr:colOff>218880</xdr:colOff>
      <xdr:row>31</xdr:row>
      <xdr:rowOff>104400</xdr:rowOff>
    </xdr:to>
    <xdr:graphicFrame>
      <xdr:nvGraphicFramePr>
        <xdr:cNvPr id="2" name="Chart 2"/>
        <xdr:cNvGraphicFramePr/>
      </xdr:nvGraphicFramePr>
      <xdr:xfrm>
        <a:off x="8318520" y="3828960"/>
        <a:ext cx="596880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.71"/>
  </cols>
  <sheetData>
    <row r="1" customFormat="false" ht="27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/>
    </row>
    <row r="3" customFormat="false" ht="21.75" hidden="false" customHeight="true" outlineLevel="0" collapsed="false"/>
    <row r="4" customFormat="false" ht="30" hidden="false" customHeight="true" outlineLevel="0" collapsed="false">
      <c r="A4" s="2" t="s">
        <v>1</v>
      </c>
    </row>
    <row r="5" customFormat="false" ht="30" hidden="false" customHeight="true" outlineLevel="0" collapsed="false">
      <c r="A5" s="2"/>
    </row>
    <row r="6" customFormat="false" ht="21.75" hidden="false" customHeight="true" outlineLevel="0" collapsed="false"/>
    <row r="7" customFormat="false" ht="30" hidden="false" customHeight="true" outlineLevel="0" collapsed="false">
      <c r="A7" s="2" t="s">
        <v>2</v>
      </c>
    </row>
    <row r="8" customFormat="false" ht="30" hidden="false" customHeight="true" outlineLevel="0" collapsed="false">
      <c r="A8" s="2" t="s">
        <v>3</v>
      </c>
    </row>
    <row r="9" customFormat="false" ht="30" hidden="false" customHeight="true" outlineLevel="0" collapsed="false">
      <c r="A9" s="2" t="s">
        <v>4</v>
      </c>
    </row>
    <row r="10" customFormat="false" ht="30" hidden="false" customHeight="true" outlineLevel="0" collapsed="false">
      <c r="A10" s="2" t="s">
        <v>5</v>
      </c>
    </row>
    <row r="11" customFormat="false" ht="30" hidden="false" customHeight="true" outlineLevel="0" collapsed="false">
      <c r="A11" s="2" t="s">
        <v>6</v>
      </c>
    </row>
    <row r="12" customFormat="false" ht="30" hidden="false" customHeight="true" outlineLevel="0" collapsed="false">
      <c r="A12" s="2" t="s">
        <v>7</v>
      </c>
    </row>
    <row r="13" customFormat="false" ht="30" hidden="false" customHeight="true" outlineLevel="0" collapsed="false">
      <c r="A13" s="2" t="s">
        <v>8</v>
      </c>
    </row>
    <row r="14" customFormat="false" ht="30" hidden="false" customHeight="true" outlineLevel="0" collapsed="false">
      <c r="A14" s="2" t="s">
        <v>9</v>
      </c>
    </row>
    <row r="15" customFormat="false" ht="30" hidden="false" customHeight="true" outlineLevel="0" collapsed="false">
      <c r="A15" s="2" t="s">
        <v>10</v>
      </c>
    </row>
    <row r="16" customFormat="false" ht="30" hidden="false" customHeight="true" outlineLevel="0" collapsed="false">
      <c r="A16" s="2"/>
    </row>
    <row r="17" customFormat="false" ht="21.75" hidden="false" customHeight="true" outlineLevel="0" collapsed="false"/>
    <row r="18" customFormat="false" ht="30" hidden="false" customHeight="true" outlineLevel="0" collapsed="false">
      <c r="A18" s="2" t="s">
        <v>11</v>
      </c>
    </row>
    <row r="19" customFormat="false" ht="30" hidden="false" customHeight="true" outlineLevel="0" collapsed="false">
      <c r="A19" s="2" t="s">
        <v>12</v>
      </c>
    </row>
    <row r="20" customFormat="false" ht="30" hidden="false" customHeight="true" outlineLevel="0" collapsed="false">
      <c r="A20" s="2" t="s">
        <v>13</v>
      </c>
    </row>
    <row r="21" customFormat="false" ht="30" hidden="false" customHeight="true" outlineLevel="0" collapsed="false">
      <c r="A21" s="2"/>
    </row>
    <row r="22" customFormat="false" ht="21.75" hidden="false" customHeight="true" outlineLevel="0" collapsed="false"/>
    <row r="23" customFormat="false" ht="15" hidden="false" customHeight="false" outlineLevel="0" collapsed="false">
      <c r="A23" s="3" t="s">
        <v>14</v>
      </c>
    </row>
    <row r="24" customFormat="false" ht="15" hidden="false" customHeight="false" outlineLevel="0" collapsed="false">
      <c r="A24" s="3" t="s">
        <v>15</v>
      </c>
    </row>
    <row r="25" customFormat="false" ht="15" hidden="false" customHeight="false" outlineLevel="0" collapsed="false">
      <c r="A25" s="3" t="s">
        <v>16</v>
      </c>
    </row>
    <row r="26" customFormat="false" ht="15" hidden="false" customHeight="false" outlineLevel="0" collapsed="false">
      <c r="A26" s="3" t="s">
        <v>17</v>
      </c>
    </row>
    <row r="27" customFormat="false" ht="15" hidden="false" customHeight="false" outlineLevel="0" collapsed="false">
      <c r="A27" s="3" t="s">
        <v>18</v>
      </c>
    </row>
    <row r="28" customFormat="false" ht="15" hidden="false" customHeight="false" outlineLevel="0" collapsed="false">
      <c r="A28" s="3" t="s">
        <v>19</v>
      </c>
    </row>
    <row r="29" customFormat="false" ht="15" hidden="false" customHeight="false" outlineLevel="0" collapsed="false">
      <c r="A29" s="3" t="s">
        <v>20</v>
      </c>
    </row>
    <row r="30" customFormat="false" ht="15" hidden="false" customHeight="false" outlineLevel="0" collapsed="false">
      <c r="A30" s="3" t="s">
        <v>21</v>
      </c>
    </row>
    <row r="31" customFormat="false" ht="15" hidden="false" customHeight="false" outlineLevel="0" collapsed="false">
      <c r="A31" s="3" t="s">
        <v>22</v>
      </c>
    </row>
    <row r="32" customFormat="false" ht="15" hidden="false" customHeight="false" outlineLevel="0" collapsed="false">
      <c r="A32" s="3" t="s">
        <v>23</v>
      </c>
    </row>
    <row r="33" customFormat="false" ht="15" hidden="false" customHeight="false" outlineLevel="0" collapsed="false">
      <c r="A33" s="3" t="s">
        <v>24</v>
      </c>
    </row>
    <row r="34" customFormat="false" ht="30" hidden="false" customHeight="true" outlineLevel="0" collapsed="false">
      <c r="A34" s="2"/>
    </row>
    <row r="35" customFormat="false" ht="21.75" hidden="false" customHeight="true" outlineLevel="0" collapsed="false"/>
    <row r="36" customFormat="false" ht="30" hidden="false" customHeight="true" outlineLevel="0" collapsed="false">
      <c r="A36" s="2" t="s">
        <v>25</v>
      </c>
    </row>
    <row r="37" customFormat="false" ht="30" hidden="false" customHeight="true" outlineLevel="0" collapsed="false">
      <c r="A37" s="2" t="s">
        <v>26</v>
      </c>
    </row>
    <row r="38" customFormat="false" ht="30" hidden="false" customHeight="true" outlineLevel="0" collapsed="false">
      <c r="A38" s="2"/>
    </row>
    <row r="39" customFormat="false" ht="30" hidden="false" customHeight="true" outlineLevel="0" collapsed="false">
      <c r="A39" s="2" t="s">
        <v>27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.71"/>
    <col collapsed="false" customWidth="true" hidden="false" outlineLevel="0" max="2" min="2" style="0" width="16.71"/>
    <col collapsed="false" customWidth="true" hidden="false" outlineLevel="0" max="14" min="3" style="0" width="13.71"/>
  </cols>
  <sheetData>
    <row r="1" customFormat="false" ht="15" hidden="false" customHeight="false" outlineLevel="0" collapsed="false">
      <c r="A1" s="1" t="s">
        <v>28</v>
      </c>
    </row>
    <row r="2" customFormat="false" ht="15" hidden="false" customHeight="true" outlineLevel="0" collapsed="false">
      <c r="A2" s="4" t="s">
        <v>29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5" customFormat="false" ht="21.75" hidden="false" customHeight="true" outlineLevel="0" collapsed="false">
      <c r="A5" s="5" t="s">
        <v>30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30" hidden="false" customHeight="true" outlineLevel="0" collapsed="false">
      <c r="A6" s="6" t="s">
        <v>31</v>
      </c>
      <c r="B6" s="6" t="s">
        <v>32</v>
      </c>
      <c r="C6" s="6" t="s">
        <v>33</v>
      </c>
      <c r="D6" s="6" t="s">
        <v>34</v>
      </c>
      <c r="E6" s="6" t="s">
        <v>35</v>
      </c>
      <c r="F6" s="6" t="s">
        <v>36</v>
      </c>
      <c r="G6" s="6" t="s">
        <v>37</v>
      </c>
      <c r="H6" s="6" t="s">
        <v>38</v>
      </c>
      <c r="I6" s="6" t="s">
        <v>39</v>
      </c>
      <c r="J6" s="6" t="s">
        <v>40</v>
      </c>
      <c r="K6" s="6" t="s">
        <v>41</v>
      </c>
      <c r="L6" s="6" t="s">
        <v>42</v>
      </c>
    </row>
    <row r="7" customFormat="false" ht="15" hidden="false" customHeight="false" outlineLevel="0" collapsed="false">
      <c r="A7" s="7" t="s">
        <v>43</v>
      </c>
      <c r="B7" s="8" t="n">
        <v>1497</v>
      </c>
      <c r="C7" s="8" t="n">
        <v>1513</v>
      </c>
      <c r="D7" s="8" t="n">
        <v>1499</v>
      </c>
      <c r="E7" s="8" t="n">
        <v>1468</v>
      </c>
      <c r="F7" s="8" t="n">
        <v>1453</v>
      </c>
      <c r="G7" s="8" t="n">
        <v>1577</v>
      </c>
      <c r="H7" s="8" t="n">
        <v>1534</v>
      </c>
      <c r="I7" s="8" t="n">
        <v>1479</v>
      </c>
      <c r="J7" s="9" t="n">
        <f aca="false">AVERAGE(B7:I7)</f>
        <v>1502.5</v>
      </c>
      <c r="K7" s="10" t="n">
        <f aca="false">(I7/H7)-1</f>
        <v>-0.0358539765319427</v>
      </c>
      <c r="L7" s="10" t="n">
        <f aca="false">I7/I7</f>
        <v>1</v>
      </c>
    </row>
    <row r="8" customFormat="false" ht="15" hidden="false" customHeight="false" outlineLevel="0" collapsed="false">
      <c r="A8" s="11" t="s">
        <v>44</v>
      </c>
      <c r="B8" s="8" t="n">
        <v>1607</v>
      </c>
      <c r="C8" s="8" t="n">
        <v>1567</v>
      </c>
      <c r="D8" s="8" t="n">
        <v>1668</v>
      </c>
      <c r="E8" s="8" t="n">
        <v>1703</v>
      </c>
      <c r="F8" s="8" t="n">
        <v>1593</v>
      </c>
      <c r="G8" s="8" t="n">
        <v>1593</v>
      </c>
      <c r="H8" s="8" t="n">
        <v>1596</v>
      </c>
      <c r="I8" s="8" t="n">
        <v>1667</v>
      </c>
      <c r="J8" s="9" t="n">
        <f aca="false">AVERAGE(B8:I8)</f>
        <v>1624.25</v>
      </c>
      <c r="K8" s="10" t="n">
        <f aca="false">(I8/H8)-1</f>
        <v>0.044486215538847</v>
      </c>
      <c r="L8" s="10" t="n">
        <f aca="false">I8/I7</f>
        <v>1.12711291413117</v>
      </c>
    </row>
    <row r="9" customFormat="false" ht="15" hidden="false" customHeight="false" outlineLevel="0" collapsed="false">
      <c r="A9" s="11" t="s">
        <v>45</v>
      </c>
      <c r="B9" s="8" t="n">
        <v>1615</v>
      </c>
      <c r="C9" s="8" t="n">
        <v>1548</v>
      </c>
      <c r="D9" s="8" t="n">
        <v>1553</v>
      </c>
      <c r="E9" s="8" t="n">
        <v>1626</v>
      </c>
      <c r="F9" s="8" t="n">
        <v>1667</v>
      </c>
      <c r="G9" s="8" t="n">
        <v>1668</v>
      </c>
      <c r="H9" s="8" t="n">
        <v>1636</v>
      </c>
      <c r="I9" s="8" t="n">
        <v>1679</v>
      </c>
      <c r="J9" s="9" t="n">
        <f aca="false">AVERAGE(B9:I9)</f>
        <v>1624</v>
      </c>
      <c r="K9" s="10" t="n">
        <f aca="false">(I9/H9)-1</f>
        <v>0.0262836185819071</v>
      </c>
      <c r="L9" s="10" t="n">
        <f aca="false">I9/I7</f>
        <v>1.13522650439486</v>
      </c>
    </row>
    <row r="10" customFormat="false" ht="15" hidden="false" customHeight="false" outlineLevel="0" collapsed="false">
      <c r="A10" s="11" t="s">
        <v>46</v>
      </c>
      <c r="B10" s="8" t="n">
        <v>1670</v>
      </c>
      <c r="C10" s="8" t="n">
        <v>1753</v>
      </c>
      <c r="D10" s="8" t="n">
        <v>1717</v>
      </c>
      <c r="E10" s="8" t="n">
        <v>1717</v>
      </c>
      <c r="F10" s="8" t="n">
        <v>1677</v>
      </c>
      <c r="G10" s="8" t="n">
        <v>1688</v>
      </c>
      <c r="H10" s="8" t="n">
        <v>1666</v>
      </c>
      <c r="I10" s="8" t="n">
        <v>1777</v>
      </c>
      <c r="J10" s="9" t="n">
        <f aca="false">AVERAGE(B10:I10)</f>
        <v>1708.125</v>
      </c>
      <c r="K10" s="10" t="n">
        <f aca="false">(I10/H10)-1</f>
        <v>0.0666266506602642</v>
      </c>
      <c r="L10" s="10" t="n">
        <f aca="false">I10/I7</f>
        <v>1.20148749154834</v>
      </c>
    </row>
    <row r="11" customFormat="false" ht="15" hidden="false" customHeight="false" outlineLevel="0" collapsed="false">
      <c r="A11" s="11" t="s">
        <v>47</v>
      </c>
      <c r="B11" s="8" t="n">
        <v>1757</v>
      </c>
      <c r="C11" s="8" t="n">
        <v>1738</v>
      </c>
      <c r="D11" s="8" t="n">
        <v>1833</v>
      </c>
      <c r="E11" s="8" t="n">
        <v>1765</v>
      </c>
      <c r="F11" s="8" t="n">
        <v>1746</v>
      </c>
      <c r="G11" s="8" t="n">
        <v>1830</v>
      </c>
      <c r="H11" s="8" t="n">
        <v>1803</v>
      </c>
      <c r="I11" s="8" t="n">
        <v>1845</v>
      </c>
      <c r="J11" s="9" t="n">
        <f aca="false">AVERAGE(B11:I11)</f>
        <v>1789.625</v>
      </c>
      <c r="K11" s="10" t="n">
        <f aca="false">(I11/H11)-1</f>
        <v>0.0232945091514143</v>
      </c>
      <c r="L11" s="10" t="n">
        <f aca="false">I11/I7</f>
        <v>1.2474645030426</v>
      </c>
    </row>
    <row r="12" customFormat="false" ht="15" hidden="false" customHeight="false" outlineLevel="0" collapsed="false">
      <c r="A12" s="11" t="s">
        <v>48</v>
      </c>
      <c r="B12" s="8" t="n">
        <v>1173</v>
      </c>
      <c r="C12" s="8" t="n">
        <v>1190</v>
      </c>
      <c r="D12" s="8" t="n">
        <v>1228</v>
      </c>
      <c r="E12" s="8" t="n">
        <v>1200</v>
      </c>
      <c r="F12" s="8" t="n">
        <v>1227</v>
      </c>
      <c r="G12" s="8" t="n">
        <v>1239</v>
      </c>
      <c r="H12" s="8" t="n">
        <v>1225</v>
      </c>
      <c r="I12" s="8" t="n">
        <v>1238</v>
      </c>
      <c r="J12" s="9" t="n">
        <f aca="false">AVERAGE(B12:I12)</f>
        <v>1215</v>
      </c>
      <c r="K12" s="10" t="n">
        <f aca="false">(I12/H12)-1</f>
        <v>0.0106122448979591</v>
      </c>
      <c r="L12" s="10" t="n">
        <f aca="false">I12/I7</f>
        <v>0.837052062204192</v>
      </c>
    </row>
    <row r="15" customFormat="false" ht="21.75" hidden="false" customHeight="true" outlineLevel="0" collapsed="false">
      <c r="A15" s="5" t="s">
        <v>49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30" hidden="false" customHeight="true" outlineLevel="0" collapsed="false">
      <c r="A16" s="6" t="s">
        <v>31</v>
      </c>
      <c r="B16" s="6" t="s">
        <v>32</v>
      </c>
      <c r="C16" s="6" t="s">
        <v>33</v>
      </c>
      <c r="D16" s="6" t="s">
        <v>34</v>
      </c>
      <c r="E16" s="6" t="s">
        <v>35</v>
      </c>
      <c r="F16" s="6" t="s">
        <v>36</v>
      </c>
      <c r="G16" s="6" t="s">
        <v>37</v>
      </c>
      <c r="H16" s="6" t="s">
        <v>38</v>
      </c>
      <c r="I16" s="6" t="s">
        <v>39</v>
      </c>
      <c r="J16" s="6" t="s">
        <v>40</v>
      </c>
      <c r="K16" s="6" t="s">
        <v>41</v>
      </c>
      <c r="L16" s="6" t="s">
        <v>42</v>
      </c>
    </row>
    <row r="17" customFormat="false" ht="15" hidden="false" customHeight="false" outlineLevel="0" collapsed="false">
      <c r="A17" s="7" t="s">
        <v>43</v>
      </c>
      <c r="B17" s="8" t="n">
        <v>4018</v>
      </c>
      <c r="C17" s="8" t="n">
        <v>4089</v>
      </c>
      <c r="D17" s="8" t="n">
        <v>4136</v>
      </c>
      <c r="E17" s="8" t="n">
        <v>4148</v>
      </c>
      <c r="F17" s="8" t="n">
        <v>4003</v>
      </c>
      <c r="G17" s="8" t="n">
        <v>4084</v>
      </c>
      <c r="H17" s="8" t="n">
        <v>4118</v>
      </c>
      <c r="I17" s="8" t="n">
        <v>3990</v>
      </c>
      <c r="J17" s="9" t="n">
        <f aca="false">AVERAGE(B17:I17)</f>
        <v>4073.25</v>
      </c>
      <c r="K17" s="10" t="n">
        <f aca="false">(I17/H17)-1</f>
        <v>-0.0310830500242837</v>
      </c>
      <c r="L17" s="10" t="n">
        <f aca="false">I17/I17</f>
        <v>1</v>
      </c>
    </row>
    <row r="18" customFormat="false" ht="15" hidden="false" customHeight="false" outlineLevel="0" collapsed="false">
      <c r="A18" s="11" t="s">
        <v>44</v>
      </c>
      <c r="B18" s="8" t="n">
        <v>4214</v>
      </c>
      <c r="C18" s="8" t="n">
        <v>4249</v>
      </c>
      <c r="D18" s="8" t="n">
        <v>4276</v>
      </c>
      <c r="E18" s="8" t="n">
        <v>4362</v>
      </c>
      <c r="F18" s="8" t="n">
        <v>4417</v>
      </c>
      <c r="G18" s="8" t="n">
        <v>4297</v>
      </c>
      <c r="H18" s="8" t="n">
        <v>4314</v>
      </c>
      <c r="I18" s="8" t="n">
        <v>4459</v>
      </c>
      <c r="J18" s="9" t="n">
        <f aca="false">AVERAGE(B18:I18)</f>
        <v>4323.5</v>
      </c>
      <c r="K18" s="10" t="n">
        <f aca="false">(I18/H18)-1</f>
        <v>0.0336114974501622</v>
      </c>
      <c r="L18" s="10" t="n">
        <f aca="false">I18/I17</f>
        <v>1.11754385964912</v>
      </c>
    </row>
    <row r="19" customFormat="false" ht="15" hidden="false" customHeight="false" outlineLevel="0" collapsed="false">
      <c r="A19" s="11" t="s">
        <v>45</v>
      </c>
      <c r="B19" s="8" t="n">
        <v>4033</v>
      </c>
      <c r="C19" s="8" t="n">
        <v>4117</v>
      </c>
      <c r="D19" s="8" t="n">
        <v>4260</v>
      </c>
      <c r="E19" s="8" t="n">
        <v>4241</v>
      </c>
      <c r="F19" s="8" t="n">
        <v>4321</v>
      </c>
      <c r="G19" s="8" t="n">
        <v>4246</v>
      </c>
      <c r="H19" s="8" t="n">
        <v>4274</v>
      </c>
      <c r="I19" s="8" t="n">
        <v>4267</v>
      </c>
      <c r="J19" s="9" t="n">
        <f aca="false">AVERAGE(B19:I19)</f>
        <v>4219.875</v>
      </c>
      <c r="K19" s="10" t="n">
        <f aca="false">(I19/H19)-1</f>
        <v>-0.0016378100140384</v>
      </c>
      <c r="L19" s="10" t="n">
        <f aca="false">I19/I17</f>
        <v>1.06942355889724</v>
      </c>
    </row>
    <row r="20" customFormat="false" ht="15" hidden="false" customHeight="false" outlineLevel="0" collapsed="false">
      <c r="A20" s="11" t="s">
        <v>46</v>
      </c>
      <c r="B20" s="8" t="n">
        <v>4310</v>
      </c>
      <c r="C20" s="8" t="n">
        <v>4313</v>
      </c>
      <c r="D20" s="8" t="n">
        <v>4296</v>
      </c>
      <c r="E20" s="8" t="n">
        <v>4433</v>
      </c>
      <c r="F20" s="8" t="n">
        <v>4421</v>
      </c>
      <c r="G20" s="8" t="n">
        <v>4463</v>
      </c>
      <c r="H20" s="8" t="n">
        <v>4521</v>
      </c>
      <c r="I20" s="8" t="n">
        <v>4367</v>
      </c>
      <c r="J20" s="9" t="n">
        <f aca="false">AVERAGE(B20:I20)</f>
        <v>4390.5</v>
      </c>
      <c r="K20" s="10" t="n">
        <f aca="false">(I20/H20)-1</f>
        <v>-0.0340632603406326</v>
      </c>
      <c r="L20" s="10" t="n">
        <f aca="false">I20/I17</f>
        <v>1.09448621553885</v>
      </c>
    </row>
    <row r="21" customFormat="false" ht="15" hidden="false" customHeight="false" outlineLevel="0" collapsed="false">
      <c r="A21" s="11" t="s">
        <v>47</v>
      </c>
      <c r="B21" s="8" t="n">
        <v>4384</v>
      </c>
      <c r="C21" s="8" t="n">
        <v>4379</v>
      </c>
      <c r="D21" s="8" t="n">
        <v>4505</v>
      </c>
      <c r="E21" s="8" t="n">
        <v>4570</v>
      </c>
      <c r="F21" s="8" t="n">
        <v>4658</v>
      </c>
      <c r="G21" s="8" t="n">
        <v>4491</v>
      </c>
      <c r="H21" s="8" t="n">
        <v>4418</v>
      </c>
      <c r="I21" s="8" t="n">
        <v>4646</v>
      </c>
      <c r="J21" s="9" t="n">
        <f aca="false">AVERAGE(B21:I21)</f>
        <v>4506.375</v>
      </c>
      <c r="K21" s="10" t="n">
        <f aca="false">(I21/H21)-1</f>
        <v>0.0516070620190132</v>
      </c>
      <c r="L21" s="10" t="n">
        <f aca="false">I21/I17</f>
        <v>1.16441102756892</v>
      </c>
    </row>
    <row r="22" customFormat="false" ht="15" hidden="false" customHeight="false" outlineLevel="0" collapsed="false">
      <c r="A22" s="11" t="s">
        <v>48</v>
      </c>
      <c r="B22" s="8" t="n">
        <v>4673</v>
      </c>
      <c r="C22" s="8" t="n">
        <v>4672</v>
      </c>
      <c r="D22" s="8" t="n">
        <v>4702</v>
      </c>
      <c r="E22" s="8" t="n">
        <v>4918</v>
      </c>
      <c r="F22" s="8" t="n">
        <v>4957</v>
      </c>
      <c r="G22" s="8" t="n">
        <v>4792</v>
      </c>
      <c r="H22" s="8" t="n">
        <v>5065</v>
      </c>
      <c r="I22" s="8" t="n">
        <v>4781</v>
      </c>
      <c r="J22" s="9" t="n">
        <f aca="false">AVERAGE(B22:I22)</f>
        <v>4820</v>
      </c>
      <c r="K22" s="10" t="n">
        <f aca="false">(I22/H22)-1</f>
        <v>-0.056071076011846</v>
      </c>
      <c r="L22" s="10" t="n">
        <f aca="false">I22/I17</f>
        <v>1.19824561403509</v>
      </c>
    </row>
    <row r="25" customFormat="false" ht="21.75" hidden="false" customHeight="true" outlineLevel="0" collapsed="false">
      <c r="A25" s="5" t="s">
        <v>50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30" hidden="false" customHeight="true" outlineLevel="0" collapsed="false">
      <c r="A26" s="6" t="s">
        <v>31</v>
      </c>
      <c r="B26" s="6" t="s">
        <v>32</v>
      </c>
      <c r="C26" s="6" t="s">
        <v>33</v>
      </c>
      <c r="D26" s="6" t="s">
        <v>34</v>
      </c>
      <c r="E26" s="6" t="s">
        <v>35</v>
      </c>
      <c r="F26" s="6" t="s">
        <v>36</v>
      </c>
      <c r="G26" s="6" t="s">
        <v>37</v>
      </c>
      <c r="H26" s="6" t="s">
        <v>38</v>
      </c>
      <c r="I26" s="6" t="s">
        <v>39</v>
      </c>
      <c r="J26" s="6" t="s">
        <v>40</v>
      </c>
      <c r="K26" s="6" t="s">
        <v>41</v>
      </c>
      <c r="L26" s="6" t="s">
        <v>42</v>
      </c>
    </row>
    <row r="27" customFormat="false" ht="15" hidden="false" customHeight="false" outlineLevel="0" collapsed="false">
      <c r="A27" s="7" t="s">
        <v>43</v>
      </c>
      <c r="B27" s="8" t="n">
        <v>293</v>
      </c>
      <c r="C27" s="8" t="n">
        <v>297</v>
      </c>
      <c r="D27" s="8" t="n">
        <v>284</v>
      </c>
      <c r="E27" s="8" t="n">
        <v>304</v>
      </c>
      <c r="F27" s="8" t="n">
        <v>288</v>
      </c>
      <c r="G27" s="8" t="n">
        <v>302</v>
      </c>
      <c r="H27" s="8" t="n">
        <v>304</v>
      </c>
      <c r="I27" s="8" t="n">
        <v>288</v>
      </c>
      <c r="J27" s="9" t="n">
        <f aca="false">AVERAGE(B27:I27)</f>
        <v>295</v>
      </c>
      <c r="K27" s="10" t="n">
        <f aca="false">(I27/H27)-1</f>
        <v>-0.0526315789473685</v>
      </c>
      <c r="L27" s="10" t="n">
        <f aca="false">I27/I27</f>
        <v>1</v>
      </c>
    </row>
    <row r="28" customFormat="false" ht="15" hidden="false" customHeight="false" outlineLevel="0" collapsed="false">
      <c r="A28" s="11" t="s">
        <v>44</v>
      </c>
      <c r="B28" s="8" t="n">
        <v>320</v>
      </c>
      <c r="C28" s="8" t="n">
        <v>315</v>
      </c>
      <c r="D28" s="8" t="n">
        <v>320</v>
      </c>
      <c r="E28" s="8" t="n">
        <v>332</v>
      </c>
      <c r="F28" s="8" t="n">
        <v>333</v>
      </c>
      <c r="G28" s="8" t="n">
        <v>331</v>
      </c>
      <c r="H28" s="8" t="n">
        <v>330</v>
      </c>
      <c r="I28" s="8" t="n">
        <v>322</v>
      </c>
      <c r="J28" s="9" t="n">
        <f aca="false">AVERAGE(B28:I28)</f>
        <v>325.375</v>
      </c>
      <c r="K28" s="10" t="n">
        <f aca="false">(I28/H28)-1</f>
        <v>-0.0242424242424243</v>
      </c>
      <c r="L28" s="10" t="n">
        <f aca="false">I28/I27</f>
        <v>1.11805555555556</v>
      </c>
    </row>
    <row r="29" customFormat="false" ht="15" hidden="false" customHeight="false" outlineLevel="0" collapsed="false">
      <c r="A29" s="11" t="s">
        <v>45</v>
      </c>
      <c r="B29" s="8" t="n">
        <v>320</v>
      </c>
      <c r="C29" s="8" t="n">
        <v>308</v>
      </c>
      <c r="D29" s="8" t="n">
        <v>318</v>
      </c>
      <c r="E29" s="8" t="n">
        <v>314</v>
      </c>
      <c r="F29" s="8" t="n">
        <v>312</v>
      </c>
      <c r="G29" s="8" t="n">
        <v>316</v>
      </c>
      <c r="H29" s="8" t="n">
        <v>311</v>
      </c>
      <c r="I29" s="8" t="n">
        <v>308</v>
      </c>
      <c r="J29" s="9" t="n">
        <f aca="false">AVERAGE(B29:I29)</f>
        <v>313.375</v>
      </c>
      <c r="K29" s="10" t="n">
        <f aca="false">(I29/H29)-1</f>
        <v>-0.00964630225080387</v>
      </c>
      <c r="L29" s="10" t="n">
        <f aca="false">I29/I27</f>
        <v>1.06944444444444</v>
      </c>
    </row>
    <row r="30" customFormat="false" ht="15" hidden="false" customHeight="false" outlineLevel="0" collapsed="false">
      <c r="A30" s="11" t="s">
        <v>46</v>
      </c>
      <c r="B30" s="8" t="n">
        <v>362</v>
      </c>
      <c r="C30" s="8" t="n">
        <v>346</v>
      </c>
      <c r="D30" s="8" t="n">
        <v>353</v>
      </c>
      <c r="E30" s="8" t="n">
        <v>358</v>
      </c>
      <c r="F30" s="8" t="n">
        <v>359</v>
      </c>
      <c r="G30" s="8" t="n">
        <v>355</v>
      </c>
      <c r="H30" s="8" t="n">
        <v>354</v>
      </c>
      <c r="I30" s="8" t="n">
        <v>368</v>
      </c>
      <c r="J30" s="9" t="n">
        <f aca="false">AVERAGE(B30:I30)</f>
        <v>356.875</v>
      </c>
      <c r="K30" s="10" t="n">
        <f aca="false">(I30/H30)-1</f>
        <v>0.03954802259887</v>
      </c>
      <c r="L30" s="10" t="n">
        <f aca="false">I30/I27</f>
        <v>1.27777777777778</v>
      </c>
    </row>
    <row r="31" customFormat="false" ht="15" hidden="false" customHeight="false" outlineLevel="0" collapsed="false">
      <c r="A31" s="11" t="s">
        <v>47</v>
      </c>
      <c r="B31" s="8" t="n">
        <v>393</v>
      </c>
      <c r="C31" s="8" t="n">
        <v>395</v>
      </c>
      <c r="D31" s="8" t="n">
        <v>394</v>
      </c>
      <c r="E31" s="8" t="n">
        <v>373</v>
      </c>
      <c r="F31" s="8" t="n">
        <v>396</v>
      </c>
      <c r="G31" s="8" t="n">
        <v>381</v>
      </c>
      <c r="H31" s="8" t="n">
        <v>396</v>
      </c>
      <c r="I31" s="8" t="n">
        <v>389</v>
      </c>
      <c r="J31" s="9" t="n">
        <f aca="false">AVERAGE(B31:I31)</f>
        <v>389.625</v>
      </c>
      <c r="K31" s="10" t="n">
        <f aca="false">(I31/H31)-1</f>
        <v>-0.0176767676767676</v>
      </c>
      <c r="L31" s="10" t="n">
        <f aca="false">I31/I27</f>
        <v>1.35069444444444</v>
      </c>
    </row>
    <row r="32" customFormat="false" ht="15" hidden="false" customHeight="false" outlineLevel="0" collapsed="false">
      <c r="A32" s="11" t="s">
        <v>48</v>
      </c>
      <c r="B32" s="8" t="n">
        <v>194</v>
      </c>
      <c r="C32" s="8" t="n">
        <v>200</v>
      </c>
      <c r="D32" s="8" t="n">
        <v>194</v>
      </c>
      <c r="E32" s="8" t="n">
        <v>196</v>
      </c>
      <c r="F32" s="8" t="n">
        <v>200</v>
      </c>
      <c r="G32" s="8" t="n">
        <v>208</v>
      </c>
      <c r="H32" s="8" t="n">
        <v>197</v>
      </c>
      <c r="I32" s="8" t="n">
        <v>210</v>
      </c>
      <c r="J32" s="9" t="n">
        <f aca="false">AVERAGE(B32:I32)</f>
        <v>199.875</v>
      </c>
      <c r="K32" s="10" t="n">
        <f aca="false">(I32/H32)-1</f>
        <v>0.0659898477157361</v>
      </c>
      <c r="L32" s="10" t="n">
        <f aca="false">I32/I27</f>
        <v>0.729166666666667</v>
      </c>
    </row>
    <row r="35" customFormat="false" ht="15" hidden="false" customHeight="false" outlineLevel="0" collapsed="false">
      <c r="A35" s="5" t="s">
        <v>51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31.5" hidden="false" customHeight="true" outlineLevel="0" collapsed="false">
      <c r="A36" s="4" t="s">
        <v>52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Format="false" ht="31.5" hidden="false" customHeight="true" outlineLevel="0" collapsed="false">
      <c r="A37" s="4" t="s">
        <v>53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31.5" hidden="false" customHeight="true" outlineLevel="0" collapsed="false">
      <c r="A38" s="4" t="s">
        <v>54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customFormat="false" ht="31.5" hidden="false" customHeight="true" outlineLevel="0" collapsed="false">
      <c r="A39" s="4" t="s">
        <v>55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</sheetData>
  <mergeCells count="9">
    <mergeCell ref="A2:N2"/>
    <mergeCell ref="A5:M5"/>
    <mergeCell ref="A15:M15"/>
    <mergeCell ref="A25:M25"/>
    <mergeCell ref="A35:M35"/>
    <mergeCell ref="A36:M36"/>
    <mergeCell ref="A37:M37"/>
    <mergeCell ref="A38:M38"/>
    <mergeCell ref="A39:M39"/>
  </mergeCells>
  <conditionalFormatting sqref="L17:L22">
    <cfRule type="cellIs" priority="2" operator="lessThan" aboveAverage="0" equalAverage="0" bottom="0" percent="0" rank="0" text="" dxfId="0">
      <formula>1</formula>
    </cfRule>
    <cfRule type="cellIs" priority="3" operator="greaterThan" aboveAverage="0" equalAverage="0" bottom="0" percent="0" rank="0" text="" dxfId="1">
      <formula>1.05</formula>
    </cfRule>
  </conditionalFormatting>
  <conditionalFormatting sqref="L27:L32">
    <cfRule type="cellIs" priority="4" operator="lessThan" aboveAverage="0" equalAverage="0" bottom="0" percent="0" rank="0" text="" dxfId="0">
      <formula>1</formula>
    </cfRule>
    <cfRule type="cellIs" priority="5" operator="greaterThan" aboveAverage="0" equalAverage="0" bottom="0" percent="0" rank="0" text="" dxfId="1">
      <formula>1.05</formula>
    </cfRule>
  </conditionalFormatting>
  <conditionalFormatting sqref="L7:L12">
    <cfRule type="cellIs" priority="6" operator="lessThan" aboveAverage="0" equalAverage="0" bottom="0" percent="0" rank="0" text="" dxfId="0">
      <formula>1</formula>
    </cfRule>
    <cfRule type="cellIs" priority="7" operator="greaterThan" aboveAverage="0" equalAverage="0" bottom="0" percent="0" rank="0" text="" dxfId="1">
      <formula>1.05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72"/>
    <col collapsed="false" customWidth="true" hidden="false" outlineLevel="0" max="13" min="2" style="0" width="14.71"/>
  </cols>
  <sheetData>
    <row r="1" customFormat="false" ht="15" hidden="false" customHeight="false" outlineLevel="0" collapsed="false">
      <c r="A1" s="1" t="s">
        <v>56</v>
      </c>
    </row>
    <row r="2" customFormat="false" ht="15" hidden="false" customHeight="true" outlineLevel="0" collapsed="false">
      <c r="A2" s="4" t="s">
        <v>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customFormat="false" ht="21.75" hidden="false" customHeight="true" outlineLevel="0" collapsed="false">
      <c r="A4" s="5" t="s">
        <v>58</v>
      </c>
      <c r="B4" s="5"/>
    </row>
    <row r="5" customFormat="false" ht="15" hidden="false" customHeight="false" outlineLevel="0" collapsed="false">
      <c r="A5" s="6" t="s">
        <v>59</v>
      </c>
      <c r="B5" s="6" t="s">
        <v>60</v>
      </c>
    </row>
    <row r="6" customFormat="false" ht="15" hidden="false" customHeight="false" outlineLevel="0" collapsed="false">
      <c r="A6" s="11" t="s">
        <v>61</v>
      </c>
      <c r="B6" s="12" t="n">
        <v>0.2</v>
      </c>
    </row>
    <row r="7" customFormat="false" ht="15" hidden="false" customHeight="false" outlineLevel="0" collapsed="false">
      <c r="A7" s="11" t="s">
        <v>62</v>
      </c>
      <c r="B7" s="12" t="n">
        <v>0.15</v>
      </c>
    </row>
    <row r="8" customFormat="false" ht="15" hidden="false" customHeight="false" outlineLevel="0" collapsed="false">
      <c r="A8" s="11" t="s">
        <v>63</v>
      </c>
      <c r="B8" s="12" t="n">
        <v>0.1</v>
      </c>
    </row>
    <row r="9" customFormat="false" ht="15" hidden="false" customHeight="false" outlineLevel="0" collapsed="false">
      <c r="A9" s="11" t="s">
        <v>64</v>
      </c>
      <c r="B9" s="12" t="n">
        <v>0.1</v>
      </c>
    </row>
    <row r="10" customFormat="false" ht="15" hidden="false" customHeight="false" outlineLevel="0" collapsed="false">
      <c r="A10" s="11" t="s">
        <v>65</v>
      </c>
      <c r="B10" s="12" t="n">
        <v>0.07</v>
      </c>
    </row>
    <row r="11" customFormat="false" ht="15" hidden="false" customHeight="false" outlineLevel="0" collapsed="false">
      <c r="A11" s="11" t="s">
        <v>66</v>
      </c>
      <c r="B11" s="12" t="n">
        <v>0.1</v>
      </c>
    </row>
    <row r="12" customFormat="false" ht="15" hidden="false" customHeight="false" outlineLevel="0" collapsed="false">
      <c r="A12" s="11" t="s">
        <v>67</v>
      </c>
      <c r="B12" s="12" t="n">
        <v>0.1</v>
      </c>
    </row>
    <row r="13" customFormat="false" ht="15" hidden="false" customHeight="false" outlineLevel="0" collapsed="false">
      <c r="A13" s="11" t="s">
        <v>68</v>
      </c>
      <c r="B13" s="12" t="n">
        <v>0.05</v>
      </c>
    </row>
    <row r="14" customFormat="false" ht="15" hidden="false" customHeight="false" outlineLevel="0" collapsed="false">
      <c r="A14" s="11" t="s">
        <v>69</v>
      </c>
      <c r="B14" s="12" t="n">
        <v>0.08</v>
      </c>
    </row>
    <row r="15" customFormat="false" ht="15" hidden="false" customHeight="false" outlineLevel="0" collapsed="false">
      <c r="A15" s="11" t="s">
        <v>70</v>
      </c>
      <c r="B15" s="12" t="n">
        <v>0.05</v>
      </c>
    </row>
    <row r="17" customFormat="false" ht="21.75" hidden="false" customHeight="true" outlineLevel="0" collapsed="false">
      <c r="A17" s="5" t="s">
        <v>71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37.5" hidden="false" customHeight="true" outlineLevel="0" collapsed="false">
      <c r="A18" s="6" t="s">
        <v>72</v>
      </c>
      <c r="B18" s="6" t="s">
        <v>73</v>
      </c>
      <c r="C18" s="6" t="s">
        <v>74</v>
      </c>
      <c r="D18" s="6" t="s">
        <v>75</v>
      </c>
      <c r="E18" s="6" t="s">
        <v>76</v>
      </c>
      <c r="F18" s="6" t="s">
        <v>77</v>
      </c>
      <c r="G18" s="6" t="s">
        <v>78</v>
      </c>
      <c r="H18" s="6" t="s">
        <v>79</v>
      </c>
      <c r="I18" s="6" t="s">
        <v>80</v>
      </c>
      <c r="J18" s="6" t="s">
        <v>81</v>
      </c>
      <c r="K18" s="6" t="s">
        <v>82</v>
      </c>
      <c r="L18" s="6" t="s">
        <v>83</v>
      </c>
      <c r="M18" s="6" t="s">
        <v>84</v>
      </c>
    </row>
    <row r="19" customFormat="false" ht="15" hidden="false" customHeight="false" outlineLevel="0" collapsed="false">
      <c r="A19" s="11" t="s">
        <v>85</v>
      </c>
      <c r="B19" s="8" t="n">
        <v>100</v>
      </c>
      <c r="C19" s="9" t="n">
        <v>4.6</v>
      </c>
      <c r="D19" s="8" t="n">
        <v>500</v>
      </c>
      <c r="E19" s="8" t="n">
        <v>28</v>
      </c>
      <c r="F19" s="8" t="n">
        <v>4</v>
      </c>
      <c r="G19" s="8" t="n">
        <v>5</v>
      </c>
      <c r="H19" s="8" t="n">
        <v>3</v>
      </c>
      <c r="I19" s="8" t="n">
        <v>4</v>
      </c>
      <c r="J19" s="8" t="n">
        <v>4</v>
      </c>
      <c r="K19" s="8" t="n">
        <v>4</v>
      </c>
      <c r="L19" s="9" t="n">
        <f aca="false">(MIN($B$19:$B$24)/B19)*$B$6+(C19/5)*$B$7+(MIN($D$19:$D$24)/D19)*$B$8+(MIN($E$19:$E$24)/E19)*$B$9+(F19/5)*$B$10+(G19/5)*$B$11+(H19/5)*$B$12+(I19/5)*$B$13+(J19/5)*$B$14+(K19/5)*$B$15</f>
        <v>0.681857142857143</v>
      </c>
      <c r="M19" s="8" t="n">
        <f aca="false">RANK(L19,$L$19:$L$24)</f>
        <v>4</v>
      </c>
    </row>
    <row r="20" customFormat="false" ht="15" hidden="false" customHeight="false" outlineLevel="0" collapsed="false">
      <c r="A20" s="11" t="s">
        <v>86</v>
      </c>
      <c r="B20" s="8" t="n">
        <v>78</v>
      </c>
      <c r="C20" s="9" t="n">
        <v>4.2</v>
      </c>
      <c r="D20" s="8" t="n">
        <v>1000</v>
      </c>
      <c r="E20" s="8" t="n">
        <v>45</v>
      </c>
      <c r="F20" s="8" t="n">
        <v>3</v>
      </c>
      <c r="G20" s="8" t="n">
        <v>4</v>
      </c>
      <c r="H20" s="8" t="n">
        <v>2</v>
      </c>
      <c r="I20" s="8" t="n">
        <v>3</v>
      </c>
      <c r="J20" s="8" t="n">
        <v>5</v>
      </c>
      <c r="K20" s="8" t="n">
        <v>3</v>
      </c>
      <c r="L20" s="9" t="n">
        <f aca="false">(MIN($B$19:$B$24)/B20)*$B$6+(C20/5)*$B$7+(MIN($D$19:$D$24)/D20)*$B$8+(MIN($E$19:$E$24)/E20)*$B$9+(F20/5)*$B$10+(G20/5)*$B$11+(H20/5)*$B$12+(I20/5)*$B$13+(J20/5)*$B$14+(K20/5)*$B$15</f>
        <v>0.644111111111111</v>
      </c>
      <c r="M20" s="8" t="n">
        <f aca="false">RANK(L20,$L$19:$L$24)</f>
        <v>5</v>
      </c>
    </row>
    <row r="21" customFormat="false" ht="15" hidden="false" customHeight="false" outlineLevel="0" collapsed="false">
      <c r="A21" s="11" t="s">
        <v>87</v>
      </c>
      <c r="B21" s="8" t="n">
        <v>115</v>
      </c>
      <c r="C21" s="9" t="n">
        <v>4.3</v>
      </c>
      <c r="D21" s="8" t="n">
        <v>200</v>
      </c>
      <c r="E21" s="8" t="n">
        <v>10</v>
      </c>
      <c r="F21" s="8" t="n">
        <v>5</v>
      </c>
      <c r="G21" s="8" t="n">
        <v>5</v>
      </c>
      <c r="H21" s="8" t="n">
        <v>5</v>
      </c>
      <c r="I21" s="8" t="n">
        <v>5</v>
      </c>
      <c r="J21" s="8" t="n">
        <v>5</v>
      </c>
      <c r="K21" s="8" t="n">
        <v>5</v>
      </c>
      <c r="L21" s="9" t="n">
        <f aca="false">(MIN($B$19:$B$24)/B21)*$B$6+(C21/5)*$B$7+(MIN($D$19:$D$24)/D21)*$B$8+(MIN($E$19:$E$24)/E21)*$B$9+(F21/5)*$B$10+(G21/5)*$B$11+(H21/5)*$B$12+(I21/5)*$B$13+(J21/5)*$B$14+(K21/5)*$B$15</f>
        <v>0.789652173913044</v>
      </c>
      <c r="M21" s="8" t="n">
        <f aca="false">RANK(L21,$L$19:$L$24)</f>
        <v>3</v>
      </c>
    </row>
    <row r="22" customFormat="false" ht="15" hidden="false" customHeight="false" outlineLevel="0" collapsed="false">
      <c r="A22" s="11" t="s">
        <v>88</v>
      </c>
      <c r="B22" s="8" t="n">
        <v>92</v>
      </c>
      <c r="C22" s="9" t="n">
        <v>4</v>
      </c>
      <c r="D22" s="8" t="n">
        <v>300</v>
      </c>
      <c r="E22" s="8" t="n">
        <v>21</v>
      </c>
      <c r="F22" s="8" t="n">
        <v>4</v>
      </c>
      <c r="G22" s="8" t="n">
        <v>3</v>
      </c>
      <c r="H22" s="8" t="n">
        <v>3</v>
      </c>
      <c r="I22" s="8" t="n">
        <v>4</v>
      </c>
      <c r="J22" s="8" t="n">
        <v>3</v>
      </c>
      <c r="K22" s="8" t="n">
        <v>3</v>
      </c>
      <c r="L22" s="9" t="n">
        <f aca="false">(MIN($B$19:$B$24)/B22)*$B$6+(C22/5)*$B$7+(MIN($D$19:$D$24)/D22)*$B$8+(MIN($E$19:$E$24)/E22)*$B$9+(F22/5)*$B$10+(G22/5)*$B$11+(H22/5)*$B$12+(I22/5)*$B$13+(J22/5)*$B$14+(K22/5)*$B$15</f>
        <v>0.624041407867495</v>
      </c>
      <c r="M22" s="8" t="n">
        <f aca="false">RANK(L22,$L$19:$L$24)</f>
        <v>6</v>
      </c>
    </row>
    <row r="23" customFormat="false" ht="15" hidden="false" customHeight="false" outlineLevel="0" collapsed="false">
      <c r="A23" s="11" t="s">
        <v>89</v>
      </c>
      <c r="B23" s="8" t="n">
        <v>108</v>
      </c>
      <c r="C23" s="9" t="n">
        <v>4.4</v>
      </c>
      <c r="D23" s="8" t="n">
        <v>100</v>
      </c>
      <c r="E23" s="8" t="n">
        <v>7</v>
      </c>
      <c r="F23" s="8" t="n">
        <v>5</v>
      </c>
      <c r="G23" s="8" t="n">
        <v>5</v>
      </c>
      <c r="H23" s="8" t="n">
        <v>4</v>
      </c>
      <c r="I23" s="8" t="n">
        <v>5</v>
      </c>
      <c r="J23" s="8" t="n">
        <v>4</v>
      </c>
      <c r="K23" s="8" t="n">
        <v>4</v>
      </c>
      <c r="L23" s="9" t="n">
        <f aca="false">(MIN($B$19:$B$24)/B23)*$B$6+(C23/5)*$B$7+(MIN($D$19:$D$24)/D23)*$B$8+(MIN($E$19:$E$24)/E23)*$B$9+(F23/5)*$B$10+(G23/5)*$B$11+(H23/5)*$B$12+(I23/5)*$B$13+(J23/5)*$B$14+(K23/5)*$B$15</f>
        <v>0.801873015873016</v>
      </c>
      <c r="M23" s="8" t="n">
        <f aca="false">RANK(L23,$L$19:$L$24)</f>
        <v>2</v>
      </c>
    </row>
    <row r="24" customFormat="false" ht="15" hidden="false" customHeight="false" outlineLevel="0" collapsed="false">
      <c r="A24" s="11" t="s">
        <v>90</v>
      </c>
      <c r="B24" s="8" t="n">
        <v>125</v>
      </c>
      <c r="C24" s="9" t="n">
        <v>4.5</v>
      </c>
      <c r="D24" s="8" t="n">
        <v>50</v>
      </c>
      <c r="E24" s="8" t="n">
        <v>5</v>
      </c>
      <c r="F24" s="8" t="n">
        <v>5</v>
      </c>
      <c r="G24" s="8" t="n">
        <v>5</v>
      </c>
      <c r="H24" s="8" t="n">
        <v>5</v>
      </c>
      <c r="I24" s="8" t="n">
        <v>5</v>
      </c>
      <c r="J24" s="8" t="n">
        <v>4</v>
      </c>
      <c r="K24" s="8" t="n">
        <v>5</v>
      </c>
      <c r="L24" s="9" t="n">
        <f aca="false">(MIN($B$19:$B$24)/B24)*$B$6+(C24/5)*$B$7+(MIN($D$19:$D$24)/D24)*$B$8+(MIN($E$19:$E$24)/E24)*$B$9+(F24/5)*$B$10+(G24/5)*$B$11+(H24/5)*$B$12+(I24/5)*$B$13+(J24/5)*$B$14+(K24/5)*$B$15</f>
        <v>0.8938</v>
      </c>
      <c r="M24" s="8" t="n">
        <f aca="false">RANK(L24,$L$19:$L$24)</f>
        <v>1</v>
      </c>
    </row>
    <row r="27" customFormat="false" ht="15" hidden="false" customHeight="false" outlineLevel="0" collapsed="false">
      <c r="A27" s="5" t="s">
        <v>51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customFormat="false" ht="30" hidden="false" customHeight="true" outlineLevel="0" collapsed="false">
      <c r="A28" s="4" t="s">
        <v>91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customFormat="false" ht="30" hidden="false" customHeight="true" outlineLevel="0" collapsed="false">
      <c r="A29" s="4" t="s">
        <v>92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customFormat="false" ht="30" hidden="false" customHeight="true" outlineLevel="0" collapsed="false">
      <c r="A30" s="4" t="s">
        <v>93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30" hidden="false" customHeight="true" outlineLevel="0" collapsed="false">
      <c r="A31" s="4" t="s">
        <v>94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</sheetData>
  <mergeCells count="8">
    <mergeCell ref="A2:L2"/>
    <mergeCell ref="A4:B4"/>
    <mergeCell ref="A17:M17"/>
    <mergeCell ref="A27:M27"/>
    <mergeCell ref="A28:M28"/>
    <mergeCell ref="A29:M29"/>
    <mergeCell ref="A30:M30"/>
    <mergeCell ref="A31:M31"/>
  </mergeCells>
  <conditionalFormatting sqref="L19:L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36.71"/>
    <col collapsed="false" customWidth="true" hidden="false" outlineLevel="0" max="3" min="3" style="0" width="22.71"/>
    <col collapsed="false" customWidth="true" hidden="false" outlineLevel="0" max="7" min="4" style="0" width="14.71"/>
  </cols>
  <sheetData>
    <row r="1" customFormat="false" ht="15" hidden="false" customHeight="false" outlineLevel="0" collapsed="false">
      <c r="A1" s="1" t="s">
        <v>95</v>
      </c>
    </row>
    <row r="2" customFormat="false" ht="15" hidden="false" customHeight="true" outlineLevel="0" collapsed="false">
      <c r="A2" s="4" t="s">
        <v>96</v>
      </c>
      <c r="B2" s="4"/>
      <c r="C2" s="4"/>
      <c r="D2" s="4"/>
      <c r="E2" s="4"/>
      <c r="F2" s="4"/>
      <c r="G2" s="4"/>
    </row>
    <row r="4" customFormat="false" ht="31.5" hidden="false" customHeight="true" outlineLevel="0" collapsed="false">
      <c r="A4" s="6" t="s">
        <v>97</v>
      </c>
      <c r="B4" s="6" t="s">
        <v>98</v>
      </c>
      <c r="C4" s="6" t="s">
        <v>99</v>
      </c>
      <c r="D4" s="6" t="s">
        <v>100</v>
      </c>
      <c r="E4" s="6" t="s">
        <v>101</v>
      </c>
      <c r="F4" s="6" t="s">
        <v>102</v>
      </c>
      <c r="G4" s="6" t="s">
        <v>103</v>
      </c>
    </row>
    <row r="5" customFormat="false" ht="15" hidden="false" customHeight="false" outlineLevel="0" collapsed="false">
      <c r="A5" s="8" t="n">
        <v>1</v>
      </c>
      <c r="B5" s="11" t="s">
        <v>104</v>
      </c>
      <c r="C5" s="11" t="s">
        <v>105</v>
      </c>
      <c r="D5" s="13" t="n">
        <v>4850000</v>
      </c>
      <c r="E5" s="10" t="n">
        <f aca="false">D5/$D$20</f>
        <v>0.173648406731114</v>
      </c>
      <c r="F5" s="10" t="n">
        <f aca="false">E5</f>
        <v>0.173648406731114</v>
      </c>
      <c r="G5" s="14" t="str">
        <f aca="false">IF(F5&lt;=0.8,"A",IF(F5&lt;=0.95,"B","C"))</f>
        <v>A</v>
      </c>
    </row>
    <row r="6" customFormat="false" ht="15" hidden="false" customHeight="false" outlineLevel="0" collapsed="false">
      <c r="A6" s="8" t="n">
        <v>2</v>
      </c>
      <c r="B6" s="11" t="s">
        <v>106</v>
      </c>
      <c r="C6" s="11" t="s">
        <v>105</v>
      </c>
      <c r="D6" s="13" t="n">
        <v>3920000</v>
      </c>
      <c r="E6" s="10" t="n">
        <f aca="false">D6/$D$20</f>
        <v>0.140350877192982</v>
      </c>
      <c r="F6" s="10" t="n">
        <f aca="false">F5+E6</f>
        <v>0.313999283924096</v>
      </c>
      <c r="G6" s="14" t="str">
        <f aca="false">IF(F6&lt;=0.8,"A",IF(F6&lt;=0.95,"B","C"))</f>
        <v>A</v>
      </c>
    </row>
    <row r="7" customFormat="false" ht="15" hidden="false" customHeight="false" outlineLevel="0" collapsed="false">
      <c r="A7" s="8" t="n">
        <v>3</v>
      </c>
      <c r="B7" s="11" t="s">
        <v>107</v>
      </c>
      <c r="C7" s="11" t="s">
        <v>108</v>
      </c>
      <c r="D7" s="13" t="n">
        <v>3410000</v>
      </c>
      <c r="E7" s="10" t="n">
        <f aca="false">D7/$D$20</f>
        <v>0.122090941639814</v>
      </c>
      <c r="F7" s="10" t="n">
        <f aca="false">F6+E7</f>
        <v>0.43609022556391</v>
      </c>
      <c r="G7" s="14" t="str">
        <f aca="false">IF(F7&lt;=0.8,"A",IF(F7&lt;=0.95,"B","C"))</f>
        <v>A</v>
      </c>
    </row>
    <row r="8" customFormat="false" ht="15" hidden="false" customHeight="false" outlineLevel="0" collapsed="false">
      <c r="A8" s="8" t="n">
        <v>4</v>
      </c>
      <c r="B8" s="11" t="s">
        <v>109</v>
      </c>
      <c r="C8" s="11" t="s">
        <v>105</v>
      </c>
      <c r="D8" s="13" t="n">
        <v>2980000</v>
      </c>
      <c r="E8" s="10" t="n">
        <f aca="false">D8/$D$20</f>
        <v>0.106695309702829</v>
      </c>
      <c r="F8" s="10" t="n">
        <f aca="false">F7+E8</f>
        <v>0.542785535266738</v>
      </c>
      <c r="G8" s="14" t="str">
        <f aca="false">IF(F8&lt;=0.8,"A",IF(F8&lt;=0.95,"B","C"))</f>
        <v>A</v>
      </c>
    </row>
    <row r="9" customFormat="false" ht="15" hidden="false" customHeight="false" outlineLevel="0" collapsed="false">
      <c r="A9" s="8" t="n">
        <v>5</v>
      </c>
      <c r="B9" s="11" t="s">
        <v>110</v>
      </c>
      <c r="C9" s="11" t="s">
        <v>111</v>
      </c>
      <c r="D9" s="13" t="n">
        <v>2540000</v>
      </c>
      <c r="E9" s="10" t="n">
        <f aca="false">D9/$D$20</f>
        <v>0.0909416398138203</v>
      </c>
      <c r="F9" s="10" t="n">
        <f aca="false">F8+E9</f>
        <v>0.633727175080559</v>
      </c>
      <c r="G9" s="14" t="str">
        <f aca="false">IF(F9&lt;=0.8,"A",IF(F9&lt;=0.95,"B","C"))</f>
        <v>A</v>
      </c>
    </row>
    <row r="10" customFormat="false" ht="15" hidden="false" customHeight="false" outlineLevel="0" collapsed="false">
      <c r="A10" s="8" t="n">
        <v>6</v>
      </c>
      <c r="B10" s="11" t="s">
        <v>112</v>
      </c>
      <c r="C10" s="11" t="s">
        <v>113</v>
      </c>
      <c r="D10" s="13" t="n">
        <v>2120000</v>
      </c>
      <c r="E10" s="10" t="n">
        <f aca="false">D10/$D$20</f>
        <v>0.0759040458288579</v>
      </c>
      <c r="F10" s="10" t="n">
        <f aca="false">F9+E10</f>
        <v>0.709631220909416</v>
      </c>
      <c r="G10" s="14" t="str">
        <f aca="false">IF(F10&lt;=0.8,"A",IF(F10&lt;=0.95,"B","C"))</f>
        <v>A</v>
      </c>
    </row>
    <row r="11" customFormat="false" ht="15" hidden="false" customHeight="false" outlineLevel="0" collapsed="false">
      <c r="A11" s="8" t="n">
        <v>7</v>
      </c>
      <c r="B11" s="11" t="s">
        <v>114</v>
      </c>
      <c r="C11" s="11" t="s">
        <v>108</v>
      </c>
      <c r="D11" s="13" t="n">
        <v>1830000</v>
      </c>
      <c r="E11" s="10" t="n">
        <f aca="false">D11/$D$20</f>
        <v>0.0655209452201934</v>
      </c>
      <c r="F11" s="10" t="n">
        <f aca="false">F10+E11</f>
        <v>0.77515216612961</v>
      </c>
      <c r="G11" s="14" t="str">
        <f aca="false">IF(F11&lt;=0.8,"A",IF(F11&lt;=0.95,"B","C"))</f>
        <v>A</v>
      </c>
    </row>
    <row r="12" customFormat="false" ht="15" hidden="false" customHeight="false" outlineLevel="0" collapsed="false">
      <c r="A12" s="8" t="n">
        <v>8</v>
      </c>
      <c r="B12" s="11" t="s">
        <v>115</v>
      </c>
      <c r="C12" s="11" t="s">
        <v>113</v>
      </c>
      <c r="D12" s="13" t="n">
        <v>1640000</v>
      </c>
      <c r="E12" s="10" t="n">
        <f aca="false">D12/$D$20</f>
        <v>0.058718224131758</v>
      </c>
      <c r="F12" s="10" t="n">
        <f aca="false">F11+E12</f>
        <v>0.833870390261368</v>
      </c>
      <c r="G12" s="14" t="str">
        <f aca="false">IF(F12&lt;=0.8,"A",IF(F12&lt;=0.95,"B","C"))</f>
        <v>B</v>
      </c>
    </row>
    <row r="13" customFormat="false" ht="15" hidden="false" customHeight="false" outlineLevel="0" collapsed="false">
      <c r="A13" s="8" t="n">
        <v>9</v>
      </c>
      <c r="B13" s="11" t="s">
        <v>116</v>
      </c>
      <c r="C13" s="11" t="s">
        <v>113</v>
      </c>
      <c r="D13" s="13" t="n">
        <v>1350000</v>
      </c>
      <c r="E13" s="10" t="n">
        <f aca="false">D13/$D$20</f>
        <v>0.0483351235230935</v>
      </c>
      <c r="F13" s="10" t="n">
        <f aca="false">F12+E13</f>
        <v>0.882205513784461</v>
      </c>
      <c r="G13" s="14" t="str">
        <f aca="false">IF(F13&lt;=0.8,"A",IF(F13&lt;=0.95,"B","C"))</f>
        <v>B</v>
      </c>
    </row>
    <row r="14" customFormat="false" ht="15" hidden="false" customHeight="false" outlineLevel="0" collapsed="false">
      <c r="A14" s="8" t="n">
        <v>10</v>
      </c>
      <c r="B14" s="11" t="s">
        <v>117</v>
      </c>
      <c r="C14" s="11" t="s">
        <v>111</v>
      </c>
      <c r="D14" s="13" t="n">
        <v>1120000</v>
      </c>
      <c r="E14" s="10" t="n">
        <f aca="false">D14/$D$20</f>
        <v>0.0401002506265664</v>
      </c>
      <c r="F14" s="10" t="n">
        <f aca="false">F13+E14</f>
        <v>0.922305764411028</v>
      </c>
      <c r="G14" s="14" t="str">
        <f aca="false">IF(F14&lt;=0.8,"A",IF(F14&lt;=0.95,"B","C"))</f>
        <v>B</v>
      </c>
    </row>
    <row r="15" customFormat="false" ht="15" hidden="false" customHeight="false" outlineLevel="0" collapsed="false">
      <c r="A15" s="8" t="n">
        <v>11</v>
      </c>
      <c r="B15" s="11" t="s">
        <v>118</v>
      </c>
      <c r="C15" s="11" t="s">
        <v>119</v>
      </c>
      <c r="D15" s="13" t="n">
        <v>780000</v>
      </c>
      <c r="E15" s="10" t="n">
        <f aca="false">D15/$D$20</f>
        <v>0.0279269602577873</v>
      </c>
      <c r="F15" s="10" t="n">
        <f aca="false">F14+E15</f>
        <v>0.950232724668815</v>
      </c>
      <c r="G15" s="14" t="str">
        <f aca="false">IF(F15&lt;=0.8,"A",IF(F15&lt;=0.95,"B","C"))</f>
        <v>C</v>
      </c>
    </row>
    <row r="16" customFormat="false" ht="15" hidden="false" customHeight="false" outlineLevel="0" collapsed="false">
      <c r="A16" s="8" t="n">
        <v>12</v>
      </c>
      <c r="B16" s="11" t="s">
        <v>120</v>
      </c>
      <c r="C16" s="11" t="s">
        <v>108</v>
      </c>
      <c r="D16" s="13" t="n">
        <v>540000</v>
      </c>
      <c r="E16" s="10" t="n">
        <f aca="false">D16/$D$20</f>
        <v>0.0193340494092374</v>
      </c>
      <c r="F16" s="10" t="n">
        <f aca="false">F15+E16</f>
        <v>0.969566774078052</v>
      </c>
      <c r="G16" s="14" t="str">
        <f aca="false">IF(F16&lt;=0.8,"A",IF(F16&lt;=0.95,"B","C"))</f>
        <v>C</v>
      </c>
    </row>
    <row r="17" customFormat="false" ht="15" hidden="false" customHeight="false" outlineLevel="0" collapsed="false">
      <c r="A17" s="8" t="n">
        <v>13</v>
      </c>
      <c r="B17" s="11" t="s">
        <v>121</v>
      </c>
      <c r="C17" s="11" t="s">
        <v>111</v>
      </c>
      <c r="D17" s="13" t="n">
        <v>410000</v>
      </c>
      <c r="E17" s="10" t="n">
        <f aca="false">D17/$D$20</f>
        <v>0.0146795560329395</v>
      </c>
      <c r="F17" s="10" t="n">
        <f aca="false">F16+E17</f>
        <v>0.984246330110992</v>
      </c>
      <c r="G17" s="14" t="str">
        <f aca="false">IF(F17&lt;=0.8,"A",IF(F17&lt;=0.95,"B","C"))</f>
        <v>C</v>
      </c>
    </row>
    <row r="18" customFormat="false" ht="15" hidden="false" customHeight="false" outlineLevel="0" collapsed="false">
      <c r="A18" s="8" t="n">
        <v>14</v>
      </c>
      <c r="B18" s="11" t="s">
        <v>122</v>
      </c>
      <c r="C18" s="11" t="s">
        <v>111</v>
      </c>
      <c r="D18" s="13" t="n">
        <v>280000</v>
      </c>
      <c r="E18" s="10" t="n">
        <f aca="false">D18/$D$20</f>
        <v>0.0100250626566416</v>
      </c>
      <c r="F18" s="10" t="n">
        <f aca="false">F17+E18</f>
        <v>0.994271392767633</v>
      </c>
      <c r="G18" s="14" t="str">
        <f aca="false">IF(F18&lt;=0.8,"A",IF(F18&lt;=0.95,"B","C"))</f>
        <v>C</v>
      </c>
    </row>
    <row r="19" customFormat="false" ht="15" hidden="false" customHeight="false" outlineLevel="0" collapsed="false">
      <c r="A19" s="8" t="n">
        <v>15</v>
      </c>
      <c r="B19" s="11" t="s">
        <v>123</v>
      </c>
      <c r="C19" s="11" t="s">
        <v>119</v>
      </c>
      <c r="D19" s="13" t="n">
        <v>160000</v>
      </c>
      <c r="E19" s="10" t="n">
        <f aca="false">D19/$D$20</f>
        <v>0.00572860723236663</v>
      </c>
      <c r="F19" s="10" t="n">
        <f aca="false">F18+E19</f>
        <v>1</v>
      </c>
      <c r="G19" s="14" t="str">
        <f aca="false">IF(F19&lt;=0.8,"A",IF(F19&lt;=0.95,"B","C"))</f>
        <v>C</v>
      </c>
    </row>
    <row r="20" customFormat="false" ht="15" hidden="false" customHeight="false" outlineLevel="0" collapsed="false">
      <c r="B20" s="15" t="s">
        <v>124</v>
      </c>
      <c r="D20" s="16" t="n">
        <f aca="false">SUM(D5:D19)</f>
        <v>27930000</v>
      </c>
    </row>
    <row r="22" customFormat="false" ht="15" hidden="false" customHeight="false" outlineLevel="0" collapsed="false">
      <c r="A22" s="5" t="s">
        <v>51</v>
      </c>
      <c r="B22" s="5"/>
      <c r="C22" s="5"/>
      <c r="D22" s="5"/>
      <c r="E22" s="5"/>
      <c r="F22" s="5"/>
      <c r="G22" s="5"/>
    </row>
    <row r="23" customFormat="false" ht="31.5" hidden="false" customHeight="true" outlineLevel="0" collapsed="false">
      <c r="A23" s="4" t="s">
        <v>125</v>
      </c>
      <c r="B23" s="4"/>
      <c r="C23" s="4"/>
      <c r="D23" s="4"/>
      <c r="E23" s="4"/>
      <c r="F23" s="4"/>
      <c r="G23" s="4"/>
    </row>
    <row r="24" customFormat="false" ht="31.5" hidden="false" customHeight="true" outlineLevel="0" collapsed="false">
      <c r="A24" s="4" t="s">
        <v>126</v>
      </c>
      <c r="B24" s="4"/>
      <c r="C24" s="4"/>
      <c r="D24" s="4"/>
      <c r="E24" s="4"/>
      <c r="F24" s="4"/>
      <c r="G24" s="4"/>
    </row>
    <row r="25" customFormat="false" ht="31.5" hidden="false" customHeight="true" outlineLevel="0" collapsed="false">
      <c r="A25" s="4" t="s">
        <v>127</v>
      </c>
      <c r="B25" s="4"/>
      <c r="C25" s="4"/>
      <c r="D25" s="4"/>
      <c r="E25" s="4"/>
      <c r="F25" s="4"/>
      <c r="G25" s="4"/>
    </row>
    <row r="26" customFormat="false" ht="31.5" hidden="false" customHeight="true" outlineLevel="0" collapsed="false">
      <c r="A26" s="4" t="s">
        <v>128</v>
      </c>
      <c r="B26" s="4"/>
      <c r="C26" s="4"/>
      <c r="D26" s="4"/>
      <c r="E26" s="4"/>
      <c r="F26" s="4"/>
      <c r="G26" s="4"/>
    </row>
  </sheetData>
  <mergeCells count="6">
    <mergeCell ref="A2:G2"/>
    <mergeCell ref="A22:G22"/>
    <mergeCell ref="A23:G23"/>
    <mergeCell ref="A24:G24"/>
    <mergeCell ref="A25:G25"/>
    <mergeCell ref="A26:G26"/>
  </mergeCells>
  <conditionalFormatting sqref="G5:G19">
    <cfRule type="containsText" priority="2" operator="containsText" aboveAverage="0" equalAverage="0" bottom="0" percent="0" rank="0" text="A" dxfId="1">
      <formula>NOT(ISERROR(SEARCH("A",G5)))</formula>
    </cfRule>
    <cfRule type="containsText" priority="3" operator="containsText" aboveAverage="0" equalAverage="0" bottom="0" percent="0" rank="0" text="B" dxfId="2">
      <formula>NOT(ISERROR(SEARCH("B",G5)))</formula>
    </cfRule>
    <cfRule type="containsText" priority="4" operator="containsText" aboveAverage="0" equalAverage="0" bottom="0" percent="0" rank="0" text="C" dxfId="0">
      <formula>NOT(ISERROR(SEARCH("C",G5)))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.71"/>
    <col collapsed="false" customWidth="true" hidden="false" outlineLevel="0" max="13" min="2" style="0" width="11.71"/>
    <col collapsed="false" customWidth="true" hidden="false" outlineLevel="0" max="18" min="14" style="0" width="14.71"/>
  </cols>
  <sheetData>
    <row r="1" customFormat="false" ht="15" hidden="false" customHeight="false" outlineLevel="0" collapsed="false">
      <c r="A1" s="1" t="s">
        <v>129</v>
      </c>
    </row>
    <row r="2" customFormat="false" ht="15" hidden="false" customHeight="true" outlineLevel="0" collapsed="false">
      <c r="A2" s="4" t="s">
        <v>130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customFormat="false" ht="31.5" hidden="false" customHeight="true" outlineLevel="0" collapsed="false">
      <c r="A4" s="6" t="s">
        <v>98</v>
      </c>
      <c r="B4" s="6" t="s">
        <v>131</v>
      </c>
      <c r="C4" s="6" t="s">
        <v>132</v>
      </c>
      <c r="D4" s="6" t="s">
        <v>133</v>
      </c>
      <c r="E4" s="6" t="s">
        <v>134</v>
      </c>
      <c r="F4" s="6" t="s">
        <v>135</v>
      </c>
      <c r="G4" s="6" t="s">
        <v>136</v>
      </c>
      <c r="H4" s="6" t="s">
        <v>137</v>
      </c>
      <c r="I4" s="6" t="s">
        <v>138</v>
      </c>
      <c r="J4" s="6" t="s">
        <v>139</v>
      </c>
      <c r="K4" s="6" t="s">
        <v>140</v>
      </c>
      <c r="L4" s="6" t="s">
        <v>141</v>
      </c>
      <c r="M4" s="6" t="s">
        <v>142</v>
      </c>
      <c r="N4" s="6" t="s">
        <v>143</v>
      </c>
      <c r="O4" s="6" t="s">
        <v>144</v>
      </c>
      <c r="P4" s="6" t="s">
        <v>145</v>
      </c>
      <c r="Q4" s="6" t="s">
        <v>146</v>
      </c>
      <c r="R4" s="6" t="s">
        <v>99</v>
      </c>
    </row>
    <row r="5" customFormat="false" ht="15" hidden="false" customHeight="false" outlineLevel="0" collapsed="false">
      <c r="A5" s="11" t="s">
        <v>104</v>
      </c>
      <c r="B5" s="8" t="n">
        <v>361251.213044822</v>
      </c>
      <c r="C5" s="8" t="n">
        <v>308647.435293115</v>
      </c>
      <c r="D5" s="8" t="n">
        <v>392563.951446478</v>
      </c>
      <c r="E5" s="8" t="n">
        <v>388367.665651388</v>
      </c>
      <c r="F5" s="8" t="n">
        <v>376419.851618598</v>
      </c>
      <c r="G5" s="8" t="n">
        <v>354900.81801073</v>
      </c>
      <c r="H5" s="8" t="n">
        <v>350896.433216516</v>
      </c>
      <c r="I5" s="8" t="n">
        <v>347967.472396976</v>
      </c>
      <c r="J5" s="8" t="n">
        <v>369799.56906434</v>
      </c>
      <c r="K5" s="8" t="n">
        <v>401680.508283689</v>
      </c>
      <c r="L5" s="8" t="n">
        <v>578940.972664873</v>
      </c>
      <c r="M5" s="8" t="n">
        <v>591996.749011883</v>
      </c>
      <c r="N5" s="8" t="n">
        <f aca="false">AVERAGE(B5:M5)</f>
        <v>401952.719975284</v>
      </c>
      <c r="O5" s="8" t="n">
        <f aca="false">STDEV(B5:M5)</f>
        <v>89187.0483287145</v>
      </c>
      <c r="P5" s="10" t="n">
        <f aca="false">O5/N5</f>
        <v>0.221884425447347</v>
      </c>
      <c r="Q5" s="14" t="str">
        <f aca="false">IF(P5&lt;0.1,"X",IF(P5&lt;0.25,"Y","Z"))</f>
        <v>Y</v>
      </c>
      <c r="R5" s="11" t="s">
        <v>105</v>
      </c>
    </row>
    <row r="6" customFormat="false" ht="15" hidden="false" customHeight="false" outlineLevel="0" collapsed="false">
      <c r="A6" s="11" t="s">
        <v>106</v>
      </c>
      <c r="B6" s="8" t="n">
        <v>284830.475170474</v>
      </c>
      <c r="C6" s="8" t="n">
        <v>254556.801496471</v>
      </c>
      <c r="D6" s="8" t="n">
        <v>301616.176497057</v>
      </c>
      <c r="E6" s="8" t="n">
        <v>303552.451364457</v>
      </c>
      <c r="F6" s="8" t="n">
        <v>325295.526341633</v>
      </c>
      <c r="G6" s="8" t="n">
        <v>292551.560003567</v>
      </c>
      <c r="H6" s="8" t="n">
        <v>291068.348864916</v>
      </c>
      <c r="I6" s="8" t="n">
        <v>294180.008434951</v>
      </c>
      <c r="J6" s="8" t="n">
        <v>293743.121200969</v>
      </c>
      <c r="K6" s="8" t="n">
        <v>323384.475518402</v>
      </c>
      <c r="L6" s="8" t="n">
        <v>475454.470662175</v>
      </c>
      <c r="M6" s="8" t="n">
        <v>491904.506505223</v>
      </c>
      <c r="N6" s="8" t="n">
        <f aca="false">AVERAGE(B6:M6)</f>
        <v>327678.160171691</v>
      </c>
      <c r="O6" s="8" t="n">
        <f aca="false">STDEV(B6:M6)</f>
        <v>75150.7858968791</v>
      </c>
      <c r="P6" s="10" t="n">
        <f aca="false">O6/N6</f>
        <v>0.22934328567245</v>
      </c>
      <c r="Q6" s="14" t="str">
        <f aca="false">IF(P6&lt;0.1,"X",IF(P6&lt;0.25,"Y","Z"))</f>
        <v>Y</v>
      </c>
      <c r="R6" s="11" t="s">
        <v>105</v>
      </c>
    </row>
    <row r="7" customFormat="false" ht="15" hidden="false" customHeight="false" outlineLevel="0" collapsed="false">
      <c r="A7" s="11" t="s">
        <v>107</v>
      </c>
      <c r="B7" s="8" t="n">
        <v>407881.114355035</v>
      </c>
      <c r="C7" s="8" t="n">
        <v>367908.459878153</v>
      </c>
      <c r="D7" s="8" t="n">
        <v>326647.823655841</v>
      </c>
      <c r="E7" s="8" t="n">
        <v>326996.492904295</v>
      </c>
      <c r="F7" s="8" t="n">
        <v>317451.377041703</v>
      </c>
      <c r="G7" s="8" t="n">
        <v>295379.757512343</v>
      </c>
      <c r="H7" s="8" t="n">
        <v>295265.637380391</v>
      </c>
      <c r="I7" s="8" t="n">
        <v>238637.281619772</v>
      </c>
      <c r="J7" s="8" t="n">
        <v>223235.79565928</v>
      </c>
      <c r="K7" s="8" t="n">
        <v>228468.372897143</v>
      </c>
      <c r="L7" s="8" t="n">
        <v>216114.589942257</v>
      </c>
      <c r="M7" s="8" t="n">
        <v>177554.137293992</v>
      </c>
      <c r="N7" s="8" t="n">
        <f aca="false">AVERAGE(B7:M7)</f>
        <v>285128.403345017</v>
      </c>
      <c r="O7" s="8" t="n">
        <f aca="false">STDEV(B7:M7)</f>
        <v>68879.2097565474</v>
      </c>
      <c r="P7" s="10" t="n">
        <f aca="false">O7/N7</f>
        <v>0.241572600093442</v>
      </c>
      <c r="Q7" s="14" t="str">
        <f aca="false">IF(P7&lt;0.1,"X",IF(P7&lt;0.25,"Y","Z"))</f>
        <v>Y</v>
      </c>
      <c r="R7" s="11" t="s">
        <v>108</v>
      </c>
    </row>
    <row r="8" customFormat="false" ht="15" hidden="false" customHeight="false" outlineLevel="0" collapsed="false">
      <c r="A8" s="11" t="s">
        <v>109</v>
      </c>
      <c r="B8" s="8" t="n">
        <v>205710.364221875</v>
      </c>
      <c r="C8" s="8" t="n">
        <v>206084.267039576</v>
      </c>
      <c r="D8" s="8" t="n">
        <v>247599.201467638</v>
      </c>
      <c r="E8" s="8" t="n">
        <v>248159.217128756</v>
      </c>
      <c r="F8" s="8" t="n">
        <v>233859.869113268</v>
      </c>
      <c r="G8" s="8" t="n">
        <v>224670.263685452</v>
      </c>
      <c r="H8" s="8" t="n">
        <v>221106.260169465</v>
      </c>
      <c r="I8" s="8" t="n">
        <v>204836.927371948</v>
      </c>
      <c r="J8" s="8" t="n">
        <v>231291.677562645</v>
      </c>
      <c r="K8" s="8" t="n">
        <v>256575.463323295</v>
      </c>
      <c r="L8" s="8" t="n">
        <v>371260.986482363</v>
      </c>
      <c r="M8" s="8" t="n">
        <v>339665.499992236</v>
      </c>
      <c r="N8" s="8" t="n">
        <f aca="false">AVERAGE(B8:M8)</f>
        <v>249234.999796543</v>
      </c>
      <c r="O8" s="8" t="n">
        <f aca="false">STDEV(B8:M8)</f>
        <v>52920.4467492335</v>
      </c>
      <c r="P8" s="10" t="n">
        <f aca="false">O8/N8</f>
        <v>0.212331521625911</v>
      </c>
      <c r="Q8" s="14" t="str">
        <f aca="false">IF(P8&lt;0.1,"X",IF(P8&lt;0.25,"Y","Z"))</f>
        <v>Y</v>
      </c>
      <c r="R8" s="11" t="s">
        <v>105</v>
      </c>
    </row>
    <row r="9" customFormat="false" ht="15" hidden="false" customHeight="false" outlineLevel="0" collapsed="false">
      <c r="A9" s="11" t="s">
        <v>110</v>
      </c>
      <c r="B9" s="8" t="n">
        <v>212789.690250701</v>
      </c>
      <c r="C9" s="8" t="n">
        <v>207546.630633717</v>
      </c>
      <c r="D9" s="8" t="n">
        <v>251331.795611716</v>
      </c>
      <c r="E9" s="8" t="n">
        <v>194875.057781744</v>
      </c>
      <c r="F9" s="8" t="n">
        <v>187488.941599157</v>
      </c>
      <c r="G9" s="8" t="n">
        <v>174008.282442686</v>
      </c>
      <c r="H9" s="8" t="n">
        <v>183813.145005564</v>
      </c>
      <c r="I9" s="8" t="n">
        <v>144536.932463057</v>
      </c>
      <c r="J9" s="8" t="n">
        <v>191614.053773337</v>
      </c>
      <c r="K9" s="8" t="n">
        <v>186067.488740199</v>
      </c>
      <c r="L9" s="8" t="n">
        <v>223275.261701249</v>
      </c>
      <c r="M9" s="8" t="n">
        <v>318759.349473885</v>
      </c>
      <c r="N9" s="8" t="n">
        <f aca="false">AVERAGE(B9:M9)</f>
        <v>206342.219123084</v>
      </c>
      <c r="O9" s="8" t="n">
        <f aca="false">STDEV(B9:M9)</f>
        <v>44188.9364199409</v>
      </c>
      <c r="P9" s="10" t="n">
        <f aca="false">O9/N9</f>
        <v>0.214153635682196</v>
      </c>
      <c r="Q9" s="14" t="str">
        <f aca="false">IF(P9&lt;0.1,"X",IF(P9&lt;0.25,"Y","Z"))</f>
        <v>Y</v>
      </c>
      <c r="R9" s="11" t="s">
        <v>111</v>
      </c>
    </row>
    <row r="10" customFormat="false" ht="15" hidden="false" customHeight="false" outlineLevel="0" collapsed="false">
      <c r="A10" s="11" t="s">
        <v>112</v>
      </c>
      <c r="B10" s="8" t="n">
        <v>175170.178856902</v>
      </c>
      <c r="C10" s="8" t="n">
        <v>178345.443830499</v>
      </c>
      <c r="D10" s="8" t="n">
        <v>159295.98166473</v>
      </c>
      <c r="E10" s="8" t="n">
        <v>174661.333427848</v>
      </c>
      <c r="F10" s="8" t="n">
        <v>147644.145460391</v>
      </c>
      <c r="G10" s="8" t="n">
        <v>183277.917970493</v>
      </c>
      <c r="H10" s="8" t="n">
        <v>145199.940401033</v>
      </c>
      <c r="I10" s="8" t="n">
        <v>159402.803261474</v>
      </c>
      <c r="J10" s="8" t="n">
        <v>160454.956394485</v>
      </c>
      <c r="K10" s="8" t="n">
        <v>169986.375234915</v>
      </c>
      <c r="L10" s="8" t="n">
        <v>263780.547152153</v>
      </c>
      <c r="M10" s="8" t="n">
        <v>175972.304252896</v>
      </c>
      <c r="N10" s="8" t="n">
        <f aca="false">AVERAGE(B10:M10)</f>
        <v>174432.660658985</v>
      </c>
      <c r="O10" s="8" t="n">
        <f aca="false">STDEV(B10:M10)</f>
        <v>30632.5700280267</v>
      </c>
      <c r="P10" s="10" t="n">
        <f aca="false">O10/N10</f>
        <v>0.175612582599501</v>
      </c>
      <c r="Q10" s="14" t="str">
        <f aca="false">IF(P10&lt;0.1,"X",IF(P10&lt;0.25,"Y","Z"))</f>
        <v>Y</v>
      </c>
      <c r="R10" s="11" t="s">
        <v>113</v>
      </c>
    </row>
    <row r="11" customFormat="false" ht="15" hidden="false" customHeight="false" outlineLevel="0" collapsed="false">
      <c r="A11" s="11" t="s">
        <v>114</v>
      </c>
      <c r="B11" s="8" t="n">
        <v>219745.211413643</v>
      </c>
      <c r="C11" s="8" t="n">
        <v>184569.724377725</v>
      </c>
      <c r="D11" s="8" t="n">
        <v>160540.288582608</v>
      </c>
      <c r="E11" s="8" t="n">
        <v>167678.568548989</v>
      </c>
      <c r="F11" s="8" t="n">
        <v>166722.130060669</v>
      </c>
      <c r="G11" s="8" t="n">
        <v>171231.814624934</v>
      </c>
      <c r="H11" s="8" t="n">
        <v>140660.559871362</v>
      </c>
      <c r="I11" s="8" t="n">
        <v>133402.202395451</v>
      </c>
      <c r="J11" s="8" t="n">
        <v>137493.697305732</v>
      </c>
      <c r="K11" s="8" t="n">
        <v>126761.219496257</v>
      </c>
      <c r="L11" s="8" t="n">
        <v>135076.177904016</v>
      </c>
      <c r="M11" s="8" t="n">
        <v>83111.0454814336</v>
      </c>
      <c r="N11" s="8" t="n">
        <f aca="false">AVERAGE(B11:M11)</f>
        <v>152249.386671902</v>
      </c>
      <c r="O11" s="8" t="n">
        <f aca="false">STDEV(B11:M11)</f>
        <v>34256.7920079396</v>
      </c>
      <c r="P11" s="10" t="n">
        <f aca="false">O11/N11</f>
        <v>0.225004466400664</v>
      </c>
      <c r="Q11" s="14" t="str">
        <f aca="false">IF(P11&lt;0.1,"X",IF(P11&lt;0.25,"Y","Z"))</f>
        <v>Y</v>
      </c>
      <c r="R11" s="11" t="s">
        <v>108</v>
      </c>
    </row>
    <row r="12" customFormat="false" ht="15" hidden="false" customHeight="false" outlineLevel="0" collapsed="false">
      <c r="A12" s="11" t="s">
        <v>115</v>
      </c>
      <c r="B12" s="8" t="n">
        <v>136093.551839284</v>
      </c>
      <c r="C12" s="8" t="n">
        <v>133326.419413693</v>
      </c>
      <c r="D12" s="8" t="n">
        <v>121010.442305691</v>
      </c>
      <c r="E12" s="8" t="n">
        <v>127095.428875595</v>
      </c>
      <c r="F12" s="8" t="n">
        <v>130858.693860461</v>
      </c>
      <c r="G12" s="8" t="n">
        <v>117458.885418084</v>
      </c>
      <c r="H12" s="8" t="n">
        <v>120690.652750881</v>
      </c>
      <c r="I12" s="8" t="n">
        <v>115140.481425574</v>
      </c>
      <c r="J12" s="8" t="n">
        <v>119995.855961572</v>
      </c>
      <c r="K12" s="8" t="n">
        <v>137203.729157965</v>
      </c>
      <c r="L12" s="8" t="n">
        <v>244114.300514036</v>
      </c>
      <c r="M12" s="8" t="n">
        <v>143375.491230791</v>
      </c>
      <c r="N12" s="8" t="n">
        <f aca="false">AVERAGE(B12:M12)</f>
        <v>137196.994396136</v>
      </c>
      <c r="O12" s="8" t="n">
        <f aca="false">STDEV(B12:M12)</f>
        <v>34816.8252022451</v>
      </c>
      <c r="P12" s="10" t="n">
        <f aca="false">O12/N12</f>
        <v>0.253772506864959</v>
      </c>
      <c r="Q12" s="14" t="str">
        <f aca="false">IF(P12&lt;0.1,"X",IF(P12&lt;0.25,"Y","Z"))</f>
        <v>Z</v>
      </c>
      <c r="R12" s="11" t="s">
        <v>113</v>
      </c>
    </row>
    <row r="13" customFormat="false" ht="15" hidden="false" customHeight="false" outlineLevel="0" collapsed="false">
      <c r="A13" s="11" t="s">
        <v>116</v>
      </c>
      <c r="B13" s="8" t="n">
        <v>106599.615104361</v>
      </c>
      <c r="C13" s="8" t="n">
        <v>98382.8278944625</v>
      </c>
      <c r="D13" s="8" t="n">
        <v>94405.5526060532</v>
      </c>
      <c r="E13" s="8" t="n">
        <v>101298.175484313</v>
      </c>
      <c r="F13" s="8" t="n">
        <v>93627.1934423622</v>
      </c>
      <c r="G13" s="8" t="n">
        <v>102751.825402999</v>
      </c>
      <c r="H13" s="8" t="n">
        <v>86877.3268157976</v>
      </c>
      <c r="I13" s="8" t="n">
        <v>85035.8376371475</v>
      </c>
      <c r="J13" s="8" t="n">
        <v>115082.585037186</v>
      </c>
      <c r="K13" s="8" t="n">
        <v>98324.8243495091</v>
      </c>
      <c r="L13" s="8" t="n">
        <v>208407.289597797</v>
      </c>
      <c r="M13" s="8" t="n">
        <v>137312.813631854</v>
      </c>
      <c r="N13" s="8" t="n">
        <f aca="false">AVERAGE(B13:M13)</f>
        <v>110675.488916987</v>
      </c>
      <c r="O13" s="8" t="n">
        <f aca="false">STDEV(B13:M13)</f>
        <v>33751.1663099444</v>
      </c>
      <c r="P13" s="10" t="n">
        <f aca="false">O13/N13</f>
        <v>0.304956107627947</v>
      </c>
      <c r="Q13" s="14" t="str">
        <f aca="false">IF(P13&lt;0.1,"X",IF(P13&lt;0.25,"Y","Z"))</f>
        <v>Z</v>
      </c>
      <c r="R13" s="11" t="s">
        <v>113</v>
      </c>
    </row>
    <row r="14" customFormat="false" ht="15" hidden="false" customHeight="false" outlineLevel="0" collapsed="false">
      <c r="A14" s="11" t="s">
        <v>117</v>
      </c>
      <c r="B14" s="8" t="n">
        <v>95353.9420602907</v>
      </c>
      <c r="C14" s="8" t="n">
        <v>72186.4858515041</v>
      </c>
      <c r="D14" s="8" t="n">
        <v>90285.7065082495</v>
      </c>
      <c r="E14" s="8" t="n">
        <v>103685.821147125</v>
      </c>
      <c r="F14" s="8" t="n">
        <v>91852.416402704</v>
      </c>
      <c r="G14" s="8" t="n">
        <v>102017.591310957</v>
      </c>
      <c r="H14" s="8" t="n">
        <v>59992.9645256907</v>
      </c>
      <c r="I14" s="8" t="n">
        <v>54842.9195919689</v>
      </c>
      <c r="J14" s="8" t="n">
        <v>93407.7595589588</v>
      </c>
      <c r="K14" s="8" t="n">
        <v>109154.541369353</v>
      </c>
      <c r="L14" s="8" t="n">
        <v>76412.3758431128</v>
      </c>
      <c r="M14" s="8" t="n">
        <v>124732.541625122</v>
      </c>
      <c r="N14" s="8" t="n">
        <f aca="false">AVERAGE(B14:M14)</f>
        <v>89493.7554829197</v>
      </c>
      <c r="O14" s="8" t="n">
        <f aca="false">STDEV(B14:M14)</f>
        <v>20414.060651071</v>
      </c>
      <c r="P14" s="10" t="n">
        <f aca="false">O14/N14</f>
        <v>0.228105978354737</v>
      </c>
      <c r="Q14" s="14" t="str">
        <f aca="false">IF(P14&lt;0.1,"X",IF(P14&lt;0.25,"Y","Z"))</f>
        <v>Y</v>
      </c>
      <c r="R14" s="11" t="s">
        <v>111</v>
      </c>
    </row>
    <row r="15" customFormat="false" ht="15" hidden="false" customHeight="false" outlineLevel="0" collapsed="false">
      <c r="A15" s="11" t="s">
        <v>118</v>
      </c>
      <c r="B15" s="8" t="n">
        <v>45019.224329359</v>
      </c>
      <c r="C15" s="8" t="n">
        <v>32536.9354816844</v>
      </c>
      <c r="D15" s="8" t="n">
        <v>36057.0515341822</v>
      </c>
      <c r="E15" s="8" t="n">
        <v>34934.7193989678</v>
      </c>
      <c r="F15" s="8" t="n">
        <v>47746.5161946483</v>
      </c>
      <c r="G15" s="8" t="n">
        <v>45994.964661326</v>
      </c>
      <c r="H15" s="8" t="n">
        <v>54802.7095338703</v>
      </c>
      <c r="I15" s="8" t="n">
        <v>158648.099553343</v>
      </c>
      <c r="J15" s="8" t="n">
        <v>111642.139400396</v>
      </c>
      <c r="K15" s="8" t="n">
        <v>50795.4385894477</v>
      </c>
      <c r="L15" s="8" t="n">
        <v>43471.8899245711</v>
      </c>
      <c r="M15" s="8" t="n">
        <v>88501.5784230401</v>
      </c>
      <c r="N15" s="8" t="n">
        <f aca="false">AVERAGE(B15:M15)</f>
        <v>62512.6055854029</v>
      </c>
      <c r="O15" s="8" t="n">
        <f aca="false">STDEV(B15:M15)</f>
        <v>38193.6686151284</v>
      </c>
      <c r="P15" s="10" t="n">
        <f aca="false">O15/N15</f>
        <v>0.610975470586478</v>
      </c>
      <c r="Q15" s="14" t="str">
        <f aca="false">IF(P15&lt;0.1,"X",IF(P15&lt;0.25,"Y","Z"))</f>
        <v>Z</v>
      </c>
      <c r="R15" s="11" t="s">
        <v>119</v>
      </c>
    </row>
    <row r="16" customFormat="false" ht="15" hidden="false" customHeight="false" outlineLevel="0" collapsed="false">
      <c r="A16" s="11" t="s">
        <v>120</v>
      </c>
      <c r="B16" s="8" t="n">
        <v>80054.4545326852</v>
      </c>
      <c r="C16" s="8" t="n">
        <v>63051.7664254619</v>
      </c>
      <c r="D16" s="8" t="n">
        <v>56013.9884573288</v>
      </c>
      <c r="E16" s="8" t="n">
        <v>62172.547244981</v>
      </c>
      <c r="F16" s="8" t="n">
        <v>47709.304576553</v>
      </c>
      <c r="G16" s="8" t="n">
        <v>48366.8939952016</v>
      </c>
      <c r="H16" s="8" t="n">
        <v>49211.8500962224</v>
      </c>
      <c r="I16" s="8" t="n">
        <v>47595.3531165293</v>
      </c>
      <c r="J16" s="8" t="n">
        <v>38745.0448324839</v>
      </c>
      <c r="K16" s="8" t="n">
        <v>47699.4055573641</v>
      </c>
      <c r="L16" s="8" t="n">
        <v>26883.0747358728</v>
      </c>
      <c r="M16" s="8" t="n">
        <v>24540.5712176295</v>
      </c>
      <c r="N16" s="8" t="n">
        <f aca="false">AVERAGE(B16:M16)</f>
        <v>49337.0212323595</v>
      </c>
      <c r="O16" s="8" t="n">
        <f aca="false">STDEV(B16:M16)</f>
        <v>15319.4547831334</v>
      </c>
      <c r="P16" s="10" t="n">
        <f aca="false">O16/N16</f>
        <v>0.31050627704061</v>
      </c>
      <c r="Q16" s="14" t="str">
        <f aca="false">IF(P16&lt;0.1,"X",IF(P16&lt;0.25,"Y","Z"))</f>
        <v>Z</v>
      </c>
      <c r="R16" s="11" t="s">
        <v>108</v>
      </c>
    </row>
    <row r="17" customFormat="false" ht="15" hidden="false" customHeight="false" outlineLevel="0" collapsed="false">
      <c r="A17" s="11" t="s">
        <v>121</v>
      </c>
      <c r="B17" s="8" t="n">
        <v>38658.0971197733</v>
      </c>
      <c r="C17" s="8" t="n">
        <v>26403.5090139277</v>
      </c>
      <c r="D17" s="8" t="n">
        <v>45623.3191432735</v>
      </c>
      <c r="E17" s="8" t="n">
        <v>27632.8823752694</v>
      </c>
      <c r="F17" s="8" t="n">
        <v>31652.2499083704</v>
      </c>
      <c r="G17" s="8" t="n">
        <v>29398.8661871119</v>
      </c>
      <c r="H17" s="8" t="n">
        <v>30133.5313814485</v>
      </c>
      <c r="I17" s="8" t="n">
        <v>21047.3198133761</v>
      </c>
      <c r="J17" s="8" t="n">
        <v>34657.9767017215</v>
      </c>
      <c r="K17" s="8" t="n">
        <v>28384.0646699589</v>
      </c>
      <c r="L17" s="8" t="n">
        <v>27469.2235702925</v>
      </c>
      <c r="M17" s="8" t="n">
        <v>45911.2252861695</v>
      </c>
      <c r="N17" s="8" t="n">
        <f aca="false">AVERAGE(B17:M17)</f>
        <v>32247.6887642244</v>
      </c>
      <c r="O17" s="8" t="n">
        <f aca="false">STDEV(B17:M17)</f>
        <v>7652.11201293727</v>
      </c>
      <c r="P17" s="10" t="n">
        <f aca="false">O17/N17</f>
        <v>0.23729179690628</v>
      </c>
      <c r="Q17" s="14" t="str">
        <f aca="false">IF(P17&lt;0.1,"X",IF(P17&lt;0.25,"Y","Z"))</f>
        <v>Y</v>
      </c>
      <c r="R17" s="11" t="s">
        <v>111</v>
      </c>
    </row>
    <row r="18" customFormat="false" ht="15" hidden="false" customHeight="false" outlineLevel="0" collapsed="false">
      <c r="A18" s="11" t="s">
        <v>122</v>
      </c>
      <c r="B18" s="8" t="n">
        <v>17593.0433177195</v>
      </c>
      <c r="C18" s="8" t="n">
        <v>26341.6402124204</v>
      </c>
      <c r="D18" s="8" t="n">
        <v>21936.8447131135</v>
      </c>
      <c r="E18" s="8" t="n">
        <v>24474.5765849497</v>
      </c>
      <c r="F18" s="8" t="n">
        <v>19591.5879984625</v>
      </c>
      <c r="G18" s="8" t="n">
        <v>21510.668783682</v>
      </c>
      <c r="H18" s="8" t="n">
        <v>20948.5491851679</v>
      </c>
      <c r="I18" s="8" t="n">
        <v>15855.8476318988</v>
      </c>
      <c r="J18" s="8" t="n">
        <v>24339.2053553446</v>
      </c>
      <c r="K18" s="8" t="n">
        <v>24304.4722139816</v>
      </c>
      <c r="L18" s="8" t="n">
        <v>26174.7726791242</v>
      </c>
      <c r="M18" s="8" t="n">
        <v>48374.964885769</v>
      </c>
      <c r="N18" s="8" t="n">
        <f aca="false">AVERAGE(B18:M18)</f>
        <v>24287.1811301361</v>
      </c>
      <c r="O18" s="8" t="n">
        <f aca="false">STDEV(B18:M18)</f>
        <v>8259.26630358178</v>
      </c>
      <c r="P18" s="10" t="n">
        <f aca="false">O18/N18</f>
        <v>0.340066896167439</v>
      </c>
      <c r="Q18" s="14" t="str">
        <f aca="false">IF(P18&lt;0.1,"X",IF(P18&lt;0.25,"Y","Z"))</f>
        <v>Z</v>
      </c>
      <c r="R18" s="11" t="s">
        <v>111</v>
      </c>
    </row>
    <row r="19" customFormat="false" ht="15" hidden="false" customHeight="false" outlineLevel="0" collapsed="false">
      <c r="A19" s="11" t="s">
        <v>123</v>
      </c>
      <c r="B19" s="8" t="n">
        <v>8731.92565795842</v>
      </c>
      <c r="C19" s="8" t="n">
        <v>7060.19108399564</v>
      </c>
      <c r="D19" s="8" t="n">
        <v>6370.7184494664</v>
      </c>
      <c r="E19" s="8" t="n">
        <v>5780.45869433458</v>
      </c>
      <c r="F19" s="8" t="n">
        <v>8806.71792129058</v>
      </c>
      <c r="G19" s="8" t="n">
        <v>11714.2834343212</v>
      </c>
      <c r="H19" s="8" t="n">
        <v>10498.8947895821</v>
      </c>
      <c r="I19" s="8" t="n">
        <v>27874.8818595368</v>
      </c>
      <c r="J19" s="8" t="n">
        <v>29150.2399519261</v>
      </c>
      <c r="K19" s="8" t="n">
        <v>11244.8504165248</v>
      </c>
      <c r="L19" s="8" t="n">
        <v>6934.22820035014</v>
      </c>
      <c r="M19" s="8" t="n">
        <v>22801.81328236</v>
      </c>
      <c r="N19" s="8" t="n">
        <f aca="false">AVERAGE(B19:M19)</f>
        <v>13080.7669784706</v>
      </c>
      <c r="O19" s="8" t="n">
        <f aca="false">STDEV(B19:M19)</f>
        <v>8490.75920382667</v>
      </c>
      <c r="P19" s="10" t="n">
        <f aca="false">O19/N19</f>
        <v>0.64910255016403</v>
      </c>
      <c r="Q19" s="14" t="str">
        <f aca="false">IF(P19&lt;0.1,"X",IF(P19&lt;0.25,"Y","Z"))</f>
        <v>Z</v>
      </c>
      <c r="R19" s="11" t="s">
        <v>119</v>
      </c>
    </row>
    <row r="21" customFormat="false" ht="15" hidden="false" customHeight="false" outlineLevel="0" collapsed="false">
      <c r="A21" s="5" t="s">
        <v>51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customFormat="false" ht="30" hidden="false" customHeight="true" outlineLevel="0" collapsed="false">
      <c r="A22" s="4" t="s">
        <v>147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customFormat="false" ht="30" hidden="false" customHeight="true" outlineLevel="0" collapsed="false">
      <c r="A23" s="4" t="s">
        <v>148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customFormat="false" ht="30" hidden="false" customHeight="true" outlineLevel="0" collapsed="false">
      <c r="A24" s="4" t="s">
        <v>149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customFormat="false" ht="30" hidden="false" customHeight="true" outlineLevel="0" collapsed="false">
      <c r="A25" s="4" t="s">
        <v>150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customFormat="false" ht="30" hidden="false" customHeight="true" outlineLevel="0" collapsed="false">
      <c r="A26" s="4" t="s">
        <v>151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</sheetData>
  <mergeCells count="7">
    <mergeCell ref="A2:R2"/>
    <mergeCell ref="A21:R21"/>
    <mergeCell ref="A22:R22"/>
    <mergeCell ref="A23:R23"/>
    <mergeCell ref="A24:R24"/>
    <mergeCell ref="A25:R25"/>
    <mergeCell ref="A26:R26"/>
  </mergeCells>
  <conditionalFormatting sqref="Q5:Q19">
    <cfRule type="containsText" priority="2" operator="containsText" aboveAverage="0" equalAverage="0" bottom="0" percent="0" rank="0" text="X" dxfId="1">
      <formula>NOT(ISERROR(SEARCH("X",Q5)))</formula>
    </cfRule>
    <cfRule type="containsText" priority="3" operator="containsText" aboveAverage="0" equalAverage="0" bottom="0" percent="0" rank="0" text="Y" dxfId="2">
      <formula>NOT(ISERROR(SEARCH("Y",Q5)))</formula>
    </cfRule>
    <cfRule type="containsText" priority="4" operator="containsText" aboveAverage="0" equalAverage="0" bottom="0" percent="0" rank="0" text="Z" dxfId="0">
      <formula>NOT(ISERROR(SEARCH("Z",Q5)))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.71"/>
    <col collapsed="false" customWidth="true" hidden="false" outlineLevel="0" max="9" min="2" style="0" width="16.71"/>
  </cols>
  <sheetData>
    <row r="1" customFormat="false" ht="15" hidden="false" customHeight="false" outlineLevel="0" collapsed="false">
      <c r="A1" s="1" t="s">
        <v>152</v>
      </c>
    </row>
    <row r="2" customFormat="false" ht="15" hidden="false" customHeight="true" outlineLevel="0" collapsed="false">
      <c r="A2" s="4" t="s">
        <v>153</v>
      </c>
      <c r="B2" s="4"/>
      <c r="C2" s="4"/>
      <c r="D2" s="4"/>
      <c r="E2" s="4"/>
      <c r="F2" s="4"/>
      <c r="G2" s="4"/>
      <c r="H2" s="4"/>
      <c r="I2" s="4"/>
    </row>
    <row r="4" customFormat="false" ht="15" hidden="false" customHeight="false" outlineLevel="0" collapsed="false">
      <c r="A4" s="5" t="s">
        <v>154</v>
      </c>
      <c r="B4" s="5"/>
      <c r="C4" s="5"/>
      <c r="D4" s="5"/>
      <c r="E4" s="5"/>
      <c r="F4" s="5" t="s">
        <v>155</v>
      </c>
      <c r="G4" s="5"/>
      <c r="H4" s="5"/>
      <c r="I4" s="5"/>
    </row>
    <row r="5" customFormat="false" ht="31.5" hidden="false" customHeight="true" outlineLevel="0" collapsed="false">
      <c r="A5" s="6" t="s">
        <v>98</v>
      </c>
      <c r="B5" s="6" t="s">
        <v>103</v>
      </c>
      <c r="C5" s="6" t="s">
        <v>146</v>
      </c>
      <c r="D5" s="6" t="s">
        <v>156</v>
      </c>
      <c r="E5" s="6" t="s">
        <v>157</v>
      </c>
      <c r="F5" s="6" t="s">
        <v>156</v>
      </c>
      <c r="G5" s="6" t="s">
        <v>157</v>
      </c>
      <c r="H5" s="6"/>
      <c r="I5" s="6"/>
    </row>
    <row r="6" customFormat="false" ht="30" hidden="false" customHeight="true" outlineLevel="0" collapsed="false">
      <c r="A6" s="11" t="s">
        <v>104</v>
      </c>
      <c r="B6" s="14" t="str">
        <f aca="false">VLOOKUP(A6,03_ABC_анализ!$B$5:$G$19,6,FALSE())</f>
        <v>A</v>
      </c>
      <c r="C6" s="14" t="str">
        <f aca="false">VLOOKUP(A6,04_XYZ_анализ!$A$5:$Q$19,17,FALSE())</f>
        <v>Y</v>
      </c>
      <c r="D6" s="14" t="str">
        <f aca="false">B6&amp;C6</f>
        <v>AY</v>
      </c>
      <c r="E6" s="3" t="str">
        <f aca="false">VLOOKUP(D6,$F$6:$G$14,2,FALSE())</f>
        <v>Прогноз с сезонностью. Промо-бюджет под пик. Контракты «по графику закупок».</v>
      </c>
      <c r="F6" s="14" t="s">
        <v>158</v>
      </c>
      <c r="G6" s="3" t="s">
        <v>159</v>
      </c>
      <c r="H6" s="3"/>
      <c r="I6" s="3"/>
    </row>
    <row r="7" customFormat="false" ht="30" hidden="false" customHeight="true" outlineLevel="0" collapsed="false">
      <c r="A7" s="11" t="s">
        <v>106</v>
      </c>
      <c r="B7" s="14" t="str">
        <f aca="false">VLOOKUP(A7,03_ABC_анализ!$B$5:$G$19,6,FALSE())</f>
        <v>A</v>
      </c>
      <c r="C7" s="14" t="str">
        <f aca="false">VLOOKUP(A7,04_XYZ_анализ!$A$5:$Q$19,17,FALSE())</f>
        <v>Y</v>
      </c>
      <c r="D7" s="14" t="str">
        <f aca="false">B7&amp;C7</f>
        <v>AY</v>
      </c>
      <c r="E7" s="3" t="str">
        <f aca="false">VLOOKUP(D7,$F$6:$G$14,2,FALSE())</f>
        <v>Прогноз с сезонностью. Промо-бюджет под пик. Контракты «по графику закупок».</v>
      </c>
      <c r="F7" s="14" t="s">
        <v>160</v>
      </c>
      <c r="G7" s="3" t="s">
        <v>161</v>
      </c>
      <c r="H7" s="3"/>
      <c r="I7" s="3"/>
    </row>
    <row r="8" customFormat="false" ht="30" hidden="false" customHeight="true" outlineLevel="0" collapsed="false">
      <c r="A8" s="11" t="s">
        <v>107</v>
      </c>
      <c r="B8" s="14" t="str">
        <f aca="false">VLOOKUP(A8,03_ABC_анализ!$B$5:$G$19,6,FALSE())</f>
        <v>A</v>
      </c>
      <c r="C8" s="14" t="str">
        <f aca="false">VLOOKUP(A8,04_XYZ_анализ!$A$5:$Q$19,17,FALSE())</f>
        <v>Y</v>
      </c>
      <c r="D8" s="14" t="str">
        <f aca="false">B8&amp;C8</f>
        <v>AY</v>
      </c>
      <c r="E8" s="3" t="str">
        <f aca="false">VLOOKUP(D8,$F$6:$G$14,2,FALSE())</f>
        <v>Прогноз с сезонностью. Промо-бюджет под пик. Контракты «по графику закупок».</v>
      </c>
      <c r="F8" s="14" t="s">
        <v>162</v>
      </c>
      <c r="G8" s="3" t="s">
        <v>163</v>
      </c>
      <c r="H8" s="3"/>
      <c r="I8" s="3"/>
    </row>
    <row r="9" customFormat="false" ht="30" hidden="false" customHeight="true" outlineLevel="0" collapsed="false">
      <c r="A9" s="11" t="s">
        <v>109</v>
      </c>
      <c r="B9" s="14" t="str">
        <f aca="false">VLOOKUP(A9,03_ABC_анализ!$B$5:$G$19,6,FALSE())</f>
        <v>A</v>
      </c>
      <c r="C9" s="14" t="str">
        <f aca="false">VLOOKUP(A9,04_XYZ_анализ!$A$5:$Q$19,17,FALSE())</f>
        <v>Y</v>
      </c>
      <c r="D9" s="14" t="str">
        <f aca="false">B9&amp;C9</f>
        <v>AY</v>
      </c>
      <c r="E9" s="3" t="str">
        <f aca="false">VLOOKUP(D9,$F$6:$G$14,2,FALSE())</f>
        <v>Прогноз с сезонностью. Промо-бюджет под пик. Контракты «по графику закупок».</v>
      </c>
      <c r="F9" s="14" t="s">
        <v>164</v>
      </c>
      <c r="G9" s="3" t="s">
        <v>165</v>
      </c>
      <c r="H9" s="3"/>
      <c r="I9" s="3"/>
    </row>
    <row r="10" customFormat="false" ht="30" hidden="false" customHeight="true" outlineLevel="0" collapsed="false">
      <c r="A10" s="11" t="s">
        <v>110</v>
      </c>
      <c r="B10" s="14" t="str">
        <f aca="false">VLOOKUP(A10,03_ABC_анализ!$B$5:$G$19,6,FALSE())</f>
        <v>A</v>
      </c>
      <c r="C10" s="14" t="str">
        <f aca="false">VLOOKUP(A10,04_XYZ_анализ!$A$5:$Q$19,17,FALSE())</f>
        <v>Y</v>
      </c>
      <c r="D10" s="14" t="str">
        <f aca="false">B10&amp;C10</f>
        <v>AY</v>
      </c>
      <c r="E10" s="3" t="str">
        <f aca="false">VLOOKUP(D10,$F$6:$G$14,2,FALSE())</f>
        <v>Прогноз с сезонностью. Промо-бюджет под пик. Контракты «по графику закупок».</v>
      </c>
      <c r="F10" s="14" t="s">
        <v>166</v>
      </c>
      <c r="G10" s="3" t="s">
        <v>167</v>
      </c>
      <c r="H10" s="3"/>
      <c r="I10" s="3"/>
    </row>
    <row r="11" customFormat="false" ht="30" hidden="false" customHeight="true" outlineLevel="0" collapsed="false">
      <c r="A11" s="11" t="s">
        <v>112</v>
      </c>
      <c r="B11" s="14" t="str">
        <f aca="false">VLOOKUP(A11,03_ABC_анализ!$B$5:$G$19,6,FALSE())</f>
        <v>A</v>
      </c>
      <c r="C11" s="14" t="str">
        <f aca="false">VLOOKUP(A11,04_XYZ_анализ!$A$5:$Q$19,17,FALSE())</f>
        <v>Y</v>
      </c>
      <c r="D11" s="14" t="str">
        <f aca="false">B11&amp;C11</f>
        <v>AY</v>
      </c>
      <c r="E11" s="3" t="str">
        <f aca="false">VLOOKUP(D11,$F$6:$G$14,2,FALSE())</f>
        <v>Прогноз с сезонностью. Промо-бюджет под пик. Контракты «по графику закупок».</v>
      </c>
      <c r="F11" s="14" t="s">
        <v>168</v>
      </c>
      <c r="G11" s="3" t="s">
        <v>169</v>
      </c>
      <c r="H11" s="3"/>
      <c r="I11" s="3"/>
    </row>
    <row r="12" customFormat="false" ht="30" hidden="false" customHeight="true" outlineLevel="0" collapsed="false">
      <c r="A12" s="11" t="s">
        <v>114</v>
      </c>
      <c r="B12" s="14" t="str">
        <f aca="false">VLOOKUP(A12,03_ABC_анализ!$B$5:$G$19,6,FALSE())</f>
        <v>A</v>
      </c>
      <c r="C12" s="14" t="str">
        <f aca="false">VLOOKUP(A12,04_XYZ_анализ!$A$5:$Q$19,17,FALSE())</f>
        <v>Y</v>
      </c>
      <c r="D12" s="14" t="str">
        <f aca="false">B12&amp;C12</f>
        <v>AY</v>
      </c>
      <c r="E12" s="3" t="str">
        <f aca="false">VLOOKUP(D12,$F$6:$G$14,2,FALSE())</f>
        <v>Прогноз с сезонностью. Промо-бюджет под пик. Контракты «по графику закупок».</v>
      </c>
      <c r="F12" s="14" t="s">
        <v>170</v>
      </c>
      <c r="G12" s="3" t="s">
        <v>171</v>
      </c>
      <c r="H12" s="3"/>
      <c r="I12" s="3"/>
    </row>
    <row r="13" customFormat="false" ht="30" hidden="false" customHeight="true" outlineLevel="0" collapsed="false">
      <c r="A13" s="11" t="s">
        <v>115</v>
      </c>
      <c r="B13" s="14" t="str">
        <f aca="false">VLOOKUP(A13,03_ABC_анализ!$B$5:$G$19,6,FALSE())</f>
        <v>B</v>
      </c>
      <c r="C13" s="14" t="str">
        <f aca="false">VLOOKUP(A13,04_XYZ_анализ!$A$5:$Q$19,17,FALSE())</f>
        <v>Z</v>
      </c>
      <c r="D13" s="14" t="str">
        <f aca="false">B13&amp;C13</f>
        <v>BZ</v>
      </c>
      <c r="E13" s="3" t="str">
        <f aca="false">VLOOKUP(D13,$F$6:$G$14,2,FALSE())</f>
        <v>Ручной контроль, оптимизация пакетирования, переговоры о предзаказах.</v>
      </c>
      <c r="F13" s="14" t="s">
        <v>172</v>
      </c>
      <c r="G13" s="3" t="s">
        <v>173</v>
      </c>
      <c r="H13" s="3"/>
      <c r="I13" s="3"/>
    </row>
    <row r="14" customFormat="false" ht="30" hidden="false" customHeight="true" outlineLevel="0" collapsed="false">
      <c r="A14" s="11" t="s">
        <v>116</v>
      </c>
      <c r="B14" s="14" t="str">
        <f aca="false">VLOOKUP(A14,03_ABC_анализ!$B$5:$G$19,6,FALSE())</f>
        <v>B</v>
      </c>
      <c r="C14" s="14" t="str">
        <f aca="false">VLOOKUP(A14,04_XYZ_анализ!$A$5:$Q$19,17,FALSE())</f>
        <v>Z</v>
      </c>
      <c r="D14" s="14" t="str">
        <f aca="false">B14&amp;C14</f>
        <v>BZ</v>
      </c>
      <c r="E14" s="3" t="str">
        <f aca="false">VLOOKUP(D14,$F$6:$G$14,2,FALSE())</f>
        <v>Ручной контроль, оптимизация пакетирования, переговоры о предзаказах.</v>
      </c>
      <c r="F14" s="14" t="s">
        <v>174</v>
      </c>
      <c r="G14" s="3" t="s">
        <v>175</v>
      </c>
      <c r="H14" s="3"/>
      <c r="I14" s="3"/>
    </row>
    <row r="15" customFormat="false" ht="30" hidden="false" customHeight="true" outlineLevel="0" collapsed="false">
      <c r="A15" s="11" t="s">
        <v>117</v>
      </c>
      <c r="B15" s="14" t="str">
        <f aca="false">VLOOKUP(A15,03_ABC_анализ!$B$5:$G$19,6,FALSE())</f>
        <v>B</v>
      </c>
      <c r="C15" s="14" t="str">
        <f aca="false">VLOOKUP(A15,04_XYZ_анализ!$A$5:$Q$19,17,FALSE())</f>
        <v>Y</v>
      </c>
      <c r="D15" s="14" t="str">
        <f aca="false">B15&amp;C15</f>
        <v>BY</v>
      </c>
      <c r="E15" s="3" t="str">
        <f aca="false">VLOOKUP(D15,$F$6:$G$14,2,FALSE())</f>
        <v>Промо в низкий сезон, бандлы с А-классом.</v>
      </c>
    </row>
    <row r="16" customFormat="false" ht="30" hidden="false" customHeight="true" outlineLevel="0" collapsed="false">
      <c r="A16" s="11" t="s">
        <v>118</v>
      </c>
      <c r="B16" s="14" t="str">
        <f aca="false">VLOOKUP(A16,03_ABC_анализ!$B$5:$G$19,6,FALSE())</f>
        <v>C</v>
      </c>
      <c r="C16" s="14" t="str">
        <f aca="false">VLOOKUP(A16,04_XYZ_анализ!$A$5:$Q$19,17,FALSE())</f>
        <v>Z</v>
      </c>
      <c r="D16" s="14" t="str">
        <f aca="false">B16&amp;C16</f>
        <v>CZ</v>
      </c>
      <c r="E16" s="3" t="str">
        <f aca="false">VLOOKUP(D16,$F$6:$G$14,2,FALSE())</f>
        <v>Кандидаты на вывод из ассортимента.</v>
      </c>
    </row>
    <row r="17" customFormat="false" ht="30" hidden="false" customHeight="true" outlineLevel="0" collapsed="false">
      <c r="A17" s="11" t="s">
        <v>120</v>
      </c>
      <c r="B17" s="14" t="str">
        <f aca="false">VLOOKUP(A17,03_ABC_анализ!$B$5:$G$19,6,FALSE())</f>
        <v>C</v>
      </c>
      <c r="C17" s="14" t="str">
        <f aca="false">VLOOKUP(A17,04_XYZ_анализ!$A$5:$Q$19,17,FALSE())</f>
        <v>Z</v>
      </c>
      <c r="D17" s="14" t="str">
        <f aca="false">B17&amp;C17</f>
        <v>CZ</v>
      </c>
      <c r="E17" s="3" t="str">
        <f aca="false">VLOOKUP(D17,$F$6:$G$14,2,FALSE())</f>
        <v>Кандидаты на вывод из ассортимента.</v>
      </c>
    </row>
    <row r="18" customFormat="false" ht="30" hidden="false" customHeight="true" outlineLevel="0" collapsed="false">
      <c r="A18" s="11" t="s">
        <v>121</v>
      </c>
      <c r="B18" s="14" t="str">
        <f aca="false">VLOOKUP(A18,03_ABC_анализ!$B$5:$G$19,6,FALSE())</f>
        <v>C</v>
      </c>
      <c r="C18" s="14" t="str">
        <f aca="false">VLOOKUP(A18,04_XYZ_анализ!$A$5:$Q$19,17,FALSE())</f>
        <v>Y</v>
      </c>
      <c r="D18" s="14" t="str">
        <f aca="false">B18&amp;C18</f>
        <v>CY</v>
      </c>
      <c r="E18" s="3" t="str">
        <f aca="false">VLOOKUP(D18,$F$6:$G$14,2,FALSE())</f>
        <v>Минимальные обязательства, без склада.</v>
      </c>
    </row>
    <row r="19" customFormat="false" ht="30" hidden="false" customHeight="true" outlineLevel="0" collapsed="false">
      <c r="A19" s="11" t="s">
        <v>122</v>
      </c>
      <c r="B19" s="14" t="str">
        <f aca="false">VLOOKUP(A19,03_ABC_анализ!$B$5:$G$19,6,FALSE())</f>
        <v>C</v>
      </c>
      <c r="C19" s="14" t="str">
        <f aca="false">VLOOKUP(A19,04_XYZ_анализ!$A$5:$Q$19,17,FALSE())</f>
        <v>Z</v>
      </c>
      <c r="D19" s="14" t="str">
        <f aca="false">B19&amp;C19</f>
        <v>CZ</v>
      </c>
      <c r="E19" s="3" t="str">
        <f aca="false">VLOOKUP(D19,$F$6:$G$14,2,FALSE())</f>
        <v>Кандидаты на вывод из ассортимента.</v>
      </c>
    </row>
    <row r="20" customFormat="false" ht="30" hidden="false" customHeight="true" outlineLevel="0" collapsed="false">
      <c r="A20" s="11" t="s">
        <v>123</v>
      </c>
      <c r="B20" s="14" t="str">
        <f aca="false">VLOOKUP(A20,03_ABC_анализ!$B$5:$G$19,6,FALSE())</f>
        <v>C</v>
      </c>
      <c r="C20" s="14" t="str">
        <f aca="false">VLOOKUP(A20,04_XYZ_анализ!$A$5:$Q$19,17,FALSE())</f>
        <v>Z</v>
      </c>
      <c r="D20" s="14" t="str">
        <f aca="false">B20&amp;C20</f>
        <v>CZ</v>
      </c>
      <c r="E20" s="3" t="str">
        <f aca="false">VLOOKUP(D20,$F$6:$G$14,2,FALSE())</f>
        <v>Кандидаты на вывод из ассортимента.</v>
      </c>
    </row>
    <row r="23" customFormat="false" ht="15" hidden="false" customHeight="false" outlineLevel="0" collapsed="false">
      <c r="A23" s="5" t="s">
        <v>51</v>
      </c>
      <c r="B23" s="5"/>
      <c r="C23" s="5"/>
      <c r="D23" s="5"/>
      <c r="E23" s="5"/>
      <c r="F23" s="5"/>
      <c r="G23" s="5"/>
      <c r="H23" s="5"/>
      <c r="I23" s="5"/>
    </row>
    <row r="24" customFormat="false" ht="30" hidden="false" customHeight="true" outlineLevel="0" collapsed="false">
      <c r="A24" s="4" t="s">
        <v>176</v>
      </c>
      <c r="B24" s="4"/>
      <c r="C24" s="4"/>
      <c r="D24" s="4"/>
      <c r="E24" s="4"/>
      <c r="F24" s="4"/>
      <c r="G24" s="4"/>
      <c r="H24" s="4"/>
      <c r="I24" s="4"/>
    </row>
    <row r="25" customFormat="false" ht="30" hidden="false" customHeight="true" outlineLevel="0" collapsed="false">
      <c r="A25" s="4" t="s">
        <v>177</v>
      </c>
      <c r="B25" s="4"/>
      <c r="C25" s="4"/>
      <c r="D25" s="4"/>
      <c r="E25" s="4"/>
      <c r="F25" s="4"/>
      <c r="G25" s="4"/>
      <c r="H25" s="4"/>
      <c r="I25" s="4"/>
    </row>
    <row r="26" customFormat="false" ht="30" hidden="false" customHeight="true" outlineLevel="0" collapsed="false">
      <c r="A26" s="4" t="s">
        <v>178</v>
      </c>
      <c r="B26" s="4"/>
      <c r="C26" s="4"/>
      <c r="D26" s="4"/>
      <c r="E26" s="4"/>
      <c r="F26" s="4"/>
      <c r="G26" s="4"/>
      <c r="H26" s="4"/>
      <c r="I26" s="4"/>
    </row>
    <row r="27" customFormat="false" ht="30" hidden="false" customHeight="true" outlineLevel="0" collapsed="false">
      <c r="A27" s="4" t="s">
        <v>179</v>
      </c>
      <c r="B27" s="4"/>
      <c r="C27" s="4"/>
      <c r="D27" s="4"/>
      <c r="E27" s="4"/>
      <c r="F27" s="4"/>
      <c r="G27" s="4"/>
      <c r="H27" s="4"/>
      <c r="I27" s="4"/>
    </row>
  </sheetData>
  <mergeCells count="18">
    <mergeCell ref="A2:I2"/>
    <mergeCell ref="A4:E4"/>
    <mergeCell ref="F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A23:I23"/>
    <mergeCell ref="A24:I24"/>
    <mergeCell ref="A25:I25"/>
    <mergeCell ref="A26:I26"/>
    <mergeCell ref="A27:I27"/>
  </mergeCells>
  <conditionalFormatting sqref="D6:D20">
    <cfRule type="containsText" priority="2" operator="containsText" aboveAverage="0" equalAverage="0" bottom="0" percent="0" rank="0" text="AX" dxfId="1">
      <formula>NOT(ISERROR(SEARCH("AX",D6)))</formula>
    </cfRule>
    <cfRule type="containsText" priority="3" operator="containsText" aboveAverage="0" equalAverage="0" bottom="0" percent="0" rank="0" text="AY" dxfId="1">
      <formula>NOT(ISERROR(SEARCH("AY",D6)))</formula>
    </cfRule>
    <cfRule type="containsText" priority="4" operator="containsText" aboveAverage="0" equalAverage="0" bottom="0" percent="0" rank="0" text="AZ" dxfId="2">
      <formula>NOT(ISERROR(SEARCH("AZ",D6)))</formula>
    </cfRule>
    <cfRule type="containsText" priority="5" operator="containsText" aboveAverage="0" equalAverage="0" bottom="0" percent="0" rank="0" text="CZ" dxfId="0">
      <formula>NOT(ISERROR(SEARCH("CZ",D6)))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.71"/>
    <col collapsed="false" customWidth="true" hidden="false" outlineLevel="0" max="9" min="2" style="0" width="14.71"/>
  </cols>
  <sheetData>
    <row r="1" customFormat="false" ht="15" hidden="false" customHeight="false" outlineLevel="0" collapsed="false">
      <c r="A1" s="1" t="s">
        <v>180</v>
      </c>
    </row>
    <row r="2" customFormat="false" ht="15" hidden="false" customHeight="true" outlineLevel="0" collapsed="false">
      <c r="A2" s="4" t="s">
        <v>181</v>
      </c>
      <c r="B2" s="4"/>
      <c r="C2" s="4"/>
      <c r="D2" s="4"/>
      <c r="E2" s="4"/>
      <c r="F2" s="4"/>
      <c r="G2" s="4"/>
      <c r="H2" s="4"/>
      <c r="I2" s="4"/>
    </row>
    <row r="4" customFormat="false" ht="31.5" hidden="false" customHeight="true" outlineLevel="0" collapsed="false">
      <c r="A4" s="6" t="s">
        <v>98</v>
      </c>
      <c r="B4" s="6" t="s">
        <v>182</v>
      </c>
      <c r="C4" s="6" t="s">
        <v>183</v>
      </c>
      <c r="D4" s="6" t="s">
        <v>184</v>
      </c>
      <c r="E4" s="6" t="s">
        <v>185</v>
      </c>
      <c r="F4" s="6" t="s">
        <v>186</v>
      </c>
      <c r="G4" s="6" t="s">
        <v>187</v>
      </c>
      <c r="H4" s="6" t="s">
        <v>188</v>
      </c>
      <c r="I4" s="6" t="s">
        <v>189</v>
      </c>
    </row>
    <row r="5" customFormat="false" ht="15" hidden="false" customHeight="false" outlineLevel="0" collapsed="false">
      <c r="A5" s="11" t="s">
        <v>104</v>
      </c>
      <c r="B5" s="13" t="n">
        <v>1490</v>
      </c>
      <c r="C5" s="13" t="n">
        <v>680</v>
      </c>
      <c r="D5" s="13" t="n">
        <f aca="false">B5-C5</f>
        <v>810</v>
      </c>
      <c r="E5" s="10" t="n">
        <f aca="false">D5/B5</f>
        <v>0.543624161073825</v>
      </c>
      <c r="F5" s="8" t="n">
        <v>3258</v>
      </c>
      <c r="G5" s="13" t="n">
        <f aca="false">B5*F5</f>
        <v>4854420</v>
      </c>
      <c r="H5" s="13" t="n">
        <f aca="false">D5*F5</f>
        <v>2638980</v>
      </c>
      <c r="I5" s="13" t="n">
        <f aca="false">D5-B5*0.22</f>
        <v>482.2</v>
      </c>
    </row>
    <row r="6" customFormat="false" ht="15" hidden="false" customHeight="false" outlineLevel="0" collapsed="false">
      <c r="A6" s="11" t="s">
        <v>106</v>
      </c>
      <c r="B6" s="13" t="n">
        <v>2890</v>
      </c>
      <c r="C6" s="13" t="n">
        <v>1420</v>
      </c>
      <c r="D6" s="13" t="n">
        <f aca="false">B6-C6</f>
        <v>1470</v>
      </c>
      <c r="E6" s="10" t="n">
        <f aca="false">D6/B6</f>
        <v>0.508650519031142</v>
      </c>
      <c r="F6" s="8" t="n">
        <v>1356</v>
      </c>
      <c r="G6" s="13" t="n">
        <f aca="false">B6*F6</f>
        <v>3918840</v>
      </c>
      <c r="H6" s="13" t="n">
        <f aca="false">D6*F6</f>
        <v>1993320</v>
      </c>
      <c r="I6" s="13" t="n">
        <f aca="false">D6-B6*0.22</f>
        <v>834.2</v>
      </c>
    </row>
    <row r="7" customFormat="false" ht="15" hidden="false" customHeight="false" outlineLevel="0" collapsed="false">
      <c r="A7" s="11" t="s">
        <v>107</v>
      </c>
      <c r="B7" s="13" t="n">
        <v>3990</v>
      </c>
      <c r="C7" s="13" t="n">
        <v>2150</v>
      </c>
      <c r="D7" s="13" t="n">
        <f aca="false">B7-C7</f>
        <v>1840</v>
      </c>
      <c r="E7" s="10" t="n">
        <f aca="false">D7/B7</f>
        <v>0.461152882205514</v>
      </c>
      <c r="F7" s="8" t="n">
        <v>855</v>
      </c>
      <c r="G7" s="13" t="n">
        <f aca="false">B7*F7</f>
        <v>3411450</v>
      </c>
      <c r="H7" s="13" t="n">
        <f aca="false">D7*F7</f>
        <v>1573200</v>
      </c>
      <c r="I7" s="13" t="n">
        <f aca="false">D7-B7*0.22</f>
        <v>962.2</v>
      </c>
    </row>
    <row r="8" customFormat="false" ht="15" hidden="false" customHeight="false" outlineLevel="0" collapsed="false">
      <c r="A8" s="11" t="s">
        <v>109</v>
      </c>
      <c r="B8" s="13" t="n">
        <v>4490</v>
      </c>
      <c r="C8" s="13" t="n">
        <v>2680</v>
      </c>
      <c r="D8" s="13" t="n">
        <f aca="false">B8-C8</f>
        <v>1810</v>
      </c>
      <c r="E8" s="10" t="n">
        <f aca="false">D8/B8</f>
        <v>0.403118040089087</v>
      </c>
      <c r="F8" s="8" t="n">
        <v>664</v>
      </c>
      <c r="G8" s="13" t="n">
        <f aca="false">B8*F8</f>
        <v>2981360</v>
      </c>
      <c r="H8" s="13" t="n">
        <f aca="false">D8*F8</f>
        <v>1201840</v>
      </c>
      <c r="I8" s="13" t="n">
        <f aca="false">D8-B8*0.22</f>
        <v>822.2</v>
      </c>
    </row>
    <row r="9" customFormat="false" ht="15" hidden="false" customHeight="false" outlineLevel="0" collapsed="false">
      <c r="A9" s="11" t="s">
        <v>110</v>
      </c>
      <c r="B9" s="13" t="n">
        <v>590</v>
      </c>
      <c r="C9" s="13" t="n">
        <v>220</v>
      </c>
      <c r="D9" s="13" t="n">
        <f aca="false">B9-C9</f>
        <v>370</v>
      </c>
      <c r="E9" s="10" t="n">
        <f aca="false">D9/B9</f>
        <v>0.627118644067797</v>
      </c>
      <c r="F9" s="8" t="n">
        <v>4305</v>
      </c>
      <c r="G9" s="13" t="n">
        <f aca="false">B9*F9</f>
        <v>2539950</v>
      </c>
      <c r="H9" s="13" t="n">
        <f aca="false">D9*F9</f>
        <v>1592850</v>
      </c>
      <c r="I9" s="13" t="n">
        <f aca="false">D9-B9*0.22</f>
        <v>240.2</v>
      </c>
    </row>
    <row r="10" customFormat="false" ht="15" hidden="false" customHeight="false" outlineLevel="0" collapsed="false">
      <c r="A10" s="11" t="s">
        <v>112</v>
      </c>
      <c r="B10" s="13" t="n">
        <v>1890</v>
      </c>
      <c r="C10" s="13" t="n">
        <v>890</v>
      </c>
      <c r="D10" s="13" t="n">
        <f aca="false">B10-C10</f>
        <v>1000</v>
      </c>
      <c r="E10" s="10" t="n">
        <f aca="false">D10/B10</f>
        <v>0.529100529100529</v>
      </c>
      <c r="F10" s="8" t="n">
        <v>1122</v>
      </c>
      <c r="G10" s="13" t="n">
        <f aca="false">B10*F10</f>
        <v>2120580</v>
      </c>
      <c r="H10" s="13" t="n">
        <f aca="false">D10*F10</f>
        <v>1122000</v>
      </c>
      <c r="I10" s="13" t="n">
        <f aca="false">D10-B10*0.22</f>
        <v>584.2</v>
      </c>
    </row>
    <row r="11" customFormat="false" ht="15" hidden="false" customHeight="false" outlineLevel="0" collapsed="false">
      <c r="A11" s="15" t="s">
        <v>190</v>
      </c>
      <c r="G11" s="16" t="n">
        <f aca="false">SUM(G5:G10)</f>
        <v>19826600</v>
      </c>
      <c r="H11" s="16" t="n">
        <f aca="false">SUM(H5:H10)</f>
        <v>10122190</v>
      </c>
    </row>
    <row r="13" customFormat="false" ht="15" hidden="false" customHeight="false" outlineLevel="0" collapsed="false">
      <c r="A13" s="5" t="s">
        <v>191</v>
      </c>
      <c r="B13" s="5"/>
      <c r="C13" s="5"/>
      <c r="D13" s="5"/>
      <c r="E13" s="5"/>
      <c r="F13" s="5"/>
      <c r="G13" s="5"/>
      <c r="H13" s="5"/>
      <c r="I13" s="5"/>
    </row>
    <row r="14" customFormat="false" ht="15" hidden="false" customHeight="false" outlineLevel="0" collapsed="false">
      <c r="A14" s="11" t="s">
        <v>192</v>
      </c>
      <c r="B14" s="17" t="n">
        <v>4200000</v>
      </c>
    </row>
    <row r="15" customFormat="false" ht="15" hidden="false" customHeight="false" outlineLevel="0" collapsed="false">
      <c r="A15" s="11" t="s">
        <v>193</v>
      </c>
      <c r="B15" s="13" t="n">
        <f aca="false">AVERAGE(I5:I10)</f>
        <v>654.2</v>
      </c>
    </row>
    <row r="16" customFormat="false" ht="15" hidden="false" customHeight="false" outlineLevel="0" collapsed="false">
      <c r="A16" s="7" t="s">
        <v>194</v>
      </c>
      <c r="B16" s="15" t="n">
        <f aca="false">B14/B15</f>
        <v>6420.05502904311</v>
      </c>
    </row>
    <row r="17" customFormat="false" ht="15" hidden="false" customHeight="false" outlineLevel="0" collapsed="false">
      <c r="A17" s="11" t="s">
        <v>195</v>
      </c>
      <c r="B17" s="8" t="n">
        <f aca="false">SUM(F5:F10)</f>
        <v>11560</v>
      </c>
    </row>
    <row r="18" customFormat="false" ht="15" hidden="false" customHeight="false" outlineLevel="0" collapsed="false">
      <c r="A18" s="7" t="s">
        <v>196</v>
      </c>
      <c r="B18" s="18" t="n">
        <f aca="false">(B17-B16)/B17</f>
        <v>0.444631917902846</v>
      </c>
    </row>
    <row r="20" customFormat="false" ht="15" hidden="false" customHeight="false" outlineLevel="0" collapsed="false">
      <c r="A20" s="5" t="s">
        <v>51</v>
      </c>
      <c r="B20" s="5"/>
      <c r="C20" s="5"/>
      <c r="D20" s="5"/>
      <c r="E20" s="5"/>
      <c r="F20" s="5"/>
      <c r="G20" s="5"/>
      <c r="H20" s="5"/>
      <c r="I20" s="5"/>
    </row>
    <row r="21" customFormat="false" ht="31.5" hidden="false" customHeight="true" outlineLevel="0" collapsed="false">
      <c r="A21" s="4" t="s">
        <v>197</v>
      </c>
      <c r="B21" s="4"/>
      <c r="C21" s="4"/>
      <c r="D21" s="4"/>
      <c r="E21" s="4"/>
      <c r="F21" s="4"/>
      <c r="G21" s="4"/>
      <c r="H21" s="4"/>
      <c r="I21" s="4"/>
    </row>
    <row r="22" customFormat="false" ht="31.5" hidden="false" customHeight="true" outlineLevel="0" collapsed="false">
      <c r="A22" s="4" t="s">
        <v>198</v>
      </c>
      <c r="B22" s="4"/>
      <c r="C22" s="4"/>
      <c r="D22" s="4"/>
      <c r="E22" s="4"/>
      <c r="F22" s="4"/>
      <c r="G22" s="4"/>
      <c r="H22" s="4"/>
      <c r="I22" s="4"/>
    </row>
    <row r="23" customFormat="false" ht="31.5" hidden="false" customHeight="true" outlineLevel="0" collapsed="false">
      <c r="A23" s="4" t="s">
        <v>199</v>
      </c>
      <c r="B23" s="4"/>
      <c r="C23" s="4"/>
      <c r="D23" s="4"/>
      <c r="E23" s="4"/>
      <c r="F23" s="4"/>
      <c r="G23" s="4"/>
      <c r="H23" s="4"/>
      <c r="I23" s="4"/>
    </row>
    <row r="24" customFormat="false" ht="31.5" hidden="false" customHeight="true" outlineLevel="0" collapsed="false">
      <c r="A24" s="4" t="s">
        <v>200</v>
      </c>
      <c r="B24" s="4"/>
      <c r="C24" s="4"/>
      <c r="D24" s="4"/>
      <c r="E24" s="4"/>
      <c r="F24" s="4"/>
      <c r="G24" s="4"/>
      <c r="H24" s="4"/>
      <c r="I24" s="4"/>
    </row>
  </sheetData>
  <mergeCells count="7">
    <mergeCell ref="A2:I2"/>
    <mergeCell ref="A13:I13"/>
    <mergeCell ref="A20:I20"/>
    <mergeCell ref="A21:I21"/>
    <mergeCell ref="A22:I22"/>
    <mergeCell ref="A23:I23"/>
    <mergeCell ref="A24:I24"/>
  </mergeCells>
  <conditionalFormatting sqref="E5:E1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.71"/>
    <col collapsed="false" customWidth="true" hidden="false" outlineLevel="0" max="7" min="2" style="0" width="14.71"/>
  </cols>
  <sheetData>
    <row r="1" customFormat="false" ht="15" hidden="false" customHeight="false" outlineLevel="0" collapsed="false">
      <c r="A1" s="1" t="s">
        <v>201</v>
      </c>
    </row>
    <row r="2" customFormat="false" ht="15" hidden="false" customHeight="true" outlineLevel="0" collapsed="false">
      <c r="A2" s="4" t="s">
        <v>202</v>
      </c>
      <c r="B2" s="4"/>
      <c r="C2" s="4"/>
      <c r="D2" s="4"/>
      <c r="E2" s="4"/>
      <c r="F2" s="4"/>
      <c r="G2" s="4"/>
    </row>
    <row r="4" customFormat="false" ht="21.75" hidden="false" customHeight="true" outlineLevel="0" collapsed="false">
      <c r="A4" s="5" t="s">
        <v>203</v>
      </c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11" t="s">
        <v>204</v>
      </c>
      <c r="B5" s="17" t="n">
        <v>4500000</v>
      </c>
    </row>
    <row r="6" customFormat="false" ht="15" hidden="false" customHeight="false" outlineLevel="0" collapsed="false">
      <c r="A6" s="11" t="s">
        <v>205</v>
      </c>
      <c r="B6" s="17" t="n">
        <v>2290</v>
      </c>
    </row>
    <row r="7" customFormat="false" ht="15" hidden="false" customHeight="false" outlineLevel="0" collapsed="false">
      <c r="A7" s="11" t="s">
        <v>206</v>
      </c>
      <c r="B7" s="17" t="n">
        <v>1350</v>
      </c>
    </row>
    <row r="8" customFormat="false" ht="15" hidden="false" customHeight="false" outlineLevel="0" collapsed="false">
      <c r="A8" s="11" t="s">
        <v>207</v>
      </c>
      <c r="B8" s="19" t="n">
        <v>3500</v>
      </c>
    </row>
    <row r="9" customFormat="false" ht="15" hidden="false" customHeight="false" outlineLevel="0" collapsed="false">
      <c r="A9" s="11" t="s">
        <v>208</v>
      </c>
      <c r="B9" s="12" t="n">
        <v>0.25</v>
      </c>
    </row>
    <row r="10" customFormat="false" ht="15" hidden="false" customHeight="false" outlineLevel="0" collapsed="false">
      <c r="A10" s="11" t="s">
        <v>209</v>
      </c>
      <c r="B10" s="17" t="n">
        <v>1080000</v>
      </c>
    </row>
    <row r="11" customFormat="false" ht="15" hidden="false" customHeight="false" outlineLevel="0" collapsed="false">
      <c r="A11" s="11" t="s">
        <v>210</v>
      </c>
      <c r="B11" s="12" t="n">
        <v>0.2</v>
      </c>
    </row>
    <row r="12" customFormat="false" ht="15" hidden="false" customHeight="false" outlineLevel="0" collapsed="false">
      <c r="A12" s="11" t="s">
        <v>211</v>
      </c>
      <c r="B12" s="19" t="n">
        <v>5</v>
      </c>
    </row>
    <row r="14" customFormat="false" ht="15" hidden="false" customHeight="false" outlineLevel="0" collapsed="false">
      <c r="A14" s="5" t="s">
        <v>212</v>
      </c>
      <c r="B14" s="5"/>
      <c r="C14" s="5"/>
      <c r="D14" s="5"/>
      <c r="E14" s="5"/>
      <c r="F14" s="5"/>
      <c r="G14" s="5"/>
    </row>
    <row r="15" customFormat="false" ht="21.75" hidden="false" customHeight="true" outlineLevel="0" collapsed="false">
      <c r="B15" s="6" t="s">
        <v>213</v>
      </c>
      <c r="C15" s="6" t="s">
        <v>214</v>
      </c>
      <c r="D15" s="6" t="s">
        <v>215</v>
      </c>
      <c r="E15" s="6" t="s">
        <v>216</v>
      </c>
      <c r="F15" s="6" t="s">
        <v>217</v>
      </c>
      <c r="G15" s="6" t="s">
        <v>218</v>
      </c>
    </row>
    <row r="16" customFormat="false" ht="15" hidden="false" customHeight="false" outlineLevel="0" collapsed="false">
      <c r="A16" s="11" t="s">
        <v>219</v>
      </c>
      <c r="B16" s="8" t="n">
        <v>0</v>
      </c>
      <c r="C16" s="8" t="n">
        <f aca="false">$B$8</f>
        <v>3500</v>
      </c>
      <c r="D16" s="8" t="n">
        <f aca="false">C16*(1+$B$9)</f>
        <v>4375</v>
      </c>
      <c r="E16" s="8" t="n">
        <f aca="false">D16*(1+$B$9)</f>
        <v>5468.75</v>
      </c>
      <c r="F16" s="8" t="n">
        <f aca="false">E16*(1+$B$9)</f>
        <v>6835.9375</v>
      </c>
      <c r="G16" s="8" t="n">
        <f aca="false">F16*(1+$B$9)</f>
        <v>8544.921875</v>
      </c>
    </row>
    <row r="17" customFormat="false" ht="15" hidden="false" customHeight="false" outlineLevel="0" collapsed="false">
      <c r="A17" s="11" t="s">
        <v>220</v>
      </c>
      <c r="B17" s="13" t="n">
        <v>0</v>
      </c>
      <c r="C17" s="13" t="n">
        <f aca="false">C16*$B$6</f>
        <v>8015000</v>
      </c>
      <c r="D17" s="13" t="n">
        <f aca="false">D16*$B$6</f>
        <v>10018750</v>
      </c>
      <c r="E17" s="13" t="n">
        <f aca="false">E16*$B$6</f>
        <v>12523437.5</v>
      </c>
      <c r="F17" s="13" t="n">
        <f aca="false">F16*$B$6</f>
        <v>15654296.875</v>
      </c>
      <c r="G17" s="13" t="n">
        <f aca="false">G16*$B$6</f>
        <v>19567871.09375</v>
      </c>
    </row>
    <row r="18" customFormat="false" ht="15" hidden="false" customHeight="false" outlineLevel="0" collapsed="false">
      <c r="A18" s="11" t="s">
        <v>221</v>
      </c>
      <c r="B18" s="13" t="n">
        <v>0</v>
      </c>
      <c r="C18" s="13" t="n">
        <f aca="false">-C16*$B$7</f>
        <v>-4725000</v>
      </c>
      <c r="D18" s="13" t="n">
        <f aca="false">-D16*$B$7</f>
        <v>-5906250</v>
      </c>
      <c r="E18" s="13" t="n">
        <f aca="false">-E16*$B$7</f>
        <v>-7382812.5</v>
      </c>
      <c r="F18" s="13" t="n">
        <f aca="false">-F16*$B$7</f>
        <v>-9228515.625</v>
      </c>
      <c r="G18" s="13" t="n">
        <f aca="false">-G16*$B$7</f>
        <v>-11535644.53125</v>
      </c>
    </row>
    <row r="19" customFormat="false" ht="15" hidden="false" customHeight="false" outlineLevel="0" collapsed="false">
      <c r="A19" s="11" t="s">
        <v>222</v>
      </c>
      <c r="B19" s="13" t="n">
        <v>0</v>
      </c>
      <c r="C19" s="13" t="n">
        <f aca="false">-$B$10</f>
        <v>-1080000</v>
      </c>
      <c r="D19" s="13" t="n">
        <f aca="false">-$B$10</f>
        <v>-1080000</v>
      </c>
      <c r="E19" s="13" t="n">
        <f aca="false">-$B$10</f>
        <v>-1080000</v>
      </c>
      <c r="F19" s="13" t="n">
        <f aca="false">-$B$10</f>
        <v>-1080000</v>
      </c>
      <c r="G19" s="13" t="n">
        <f aca="false">-$B$10</f>
        <v>-1080000</v>
      </c>
    </row>
    <row r="20" customFormat="false" ht="15" hidden="false" customHeight="false" outlineLevel="0" collapsed="false">
      <c r="A20" s="7" t="s">
        <v>223</v>
      </c>
      <c r="B20" s="13" t="n">
        <v>0</v>
      </c>
      <c r="C20" s="13" t="n">
        <f aca="false">C17+C18+C19</f>
        <v>2210000</v>
      </c>
      <c r="D20" s="13" t="n">
        <f aca="false">D17+D18+D19</f>
        <v>3032500</v>
      </c>
      <c r="E20" s="13" t="n">
        <f aca="false">E17+E18+E19</f>
        <v>4060625</v>
      </c>
      <c r="F20" s="13" t="n">
        <f aca="false">F17+F18+F19</f>
        <v>5345781.25</v>
      </c>
      <c r="G20" s="13" t="n">
        <f aca="false">G17+G18+G19</f>
        <v>6952226.5625</v>
      </c>
    </row>
    <row r="21" customFormat="false" ht="15" hidden="false" customHeight="false" outlineLevel="0" collapsed="false">
      <c r="A21" s="11" t="s">
        <v>224</v>
      </c>
      <c r="B21" s="13" t="n">
        <f aca="false">-$B$5</f>
        <v>-4500000</v>
      </c>
      <c r="C21" s="13" t="n">
        <f aca="false">0</f>
        <v>0</v>
      </c>
      <c r="D21" s="13" t="n">
        <f aca="false">0</f>
        <v>0</v>
      </c>
      <c r="E21" s="13" t="n">
        <f aca="false">0</f>
        <v>0</v>
      </c>
      <c r="F21" s="13" t="n">
        <f aca="false">0</f>
        <v>0</v>
      </c>
      <c r="G21" s="13" t="n">
        <f aca="false">0</f>
        <v>0</v>
      </c>
    </row>
    <row r="22" customFormat="false" ht="15" hidden="false" customHeight="false" outlineLevel="0" collapsed="false">
      <c r="A22" s="7" t="s">
        <v>225</v>
      </c>
      <c r="B22" s="13" t="n">
        <f aca="false">B20+B21</f>
        <v>-4500000</v>
      </c>
      <c r="C22" s="13" t="n">
        <f aca="false">C20+C21</f>
        <v>2210000</v>
      </c>
      <c r="D22" s="13" t="n">
        <f aca="false">D20+D21</f>
        <v>3032500</v>
      </c>
      <c r="E22" s="13" t="n">
        <f aca="false">E20+E21</f>
        <v>4060625</v>
      </c>
      <c r="F22" s="13" t="n">
        <f aca="false">F20+F21</f>
        <v>5345781.25</v>
      </c>
      <c r="G22" s="13" t="n">
        <f aca="false">G20+G21</f>
        <v>6952226.5625</v>
      </c>
    </row>
    <row r="23" customFormat="false" ht="15" hidden="false" customHeight="false" outlineLevel="0" collapsed="false">
      <c r="A23" s="7" t="s">
        <v>226</v>
      </c>
      <c r="B23" s="13" t="n">
        <f aca="false">B22</f>
        <v>-4500000</v>
      </c>
      <c r="C23" s="13" t="n">
        <f aca="false">B23+C22</f>
        <v>-2290000</v>
      </c>
      <c r="D23" s="13" t="n">
        <f aca="false">C23+D22</f>
        <v>742500</v>
      </c>
      <c r="E23" s="13" t="n">
        <f aca="false">D23+E22</f>
        <v>4803125</v>
      </c>
      <c r="F23" s="13" t="n">
        <f aca="false">E23+F22</f>
        <v>10148906.25</v>
      </c>
      <c r="G23" s="13" t="n">
        <f aca="false">F23+G22</f>
        <v>17101132.8125</v>
      </c>
    </row>
    <row r="25" customFormat="false" ht="21.75" hidden="false" customHeight="true" outlineLevel="0" collapsed="false">
      <c r="A25" s="5" t="s">
        <v>227</v>
      </c>
      <c r="B25" s="5"/>
      <c r="C25" s="5"/>
      <c r="D25" s="5"/>
      <c r="E25" s="5"/>
      <c r="F25" s="5"/>
      <c r="G25" s="5"/>
    </row>
    <row r="26" customFormat="false" ht="15" hidden="false" customHeight="false" outlineLevel="0" collapsed="false">
      <c r="A26" s="7" t="s">
        <v>228</v>
      </c>
      <c r="B26" s="16" t="n">
        <f aca="false">B22+NPV($B$11,C22:G22)</f>
        <v>7169431.60947949</v>
      </c>
    </row>
    <row r="27" customFormat="false" ht="15" hidden="false" customHeight="false" outlineLevel="0" collapsed="false">
      <c r="A27" s="7" t="s">
        <v>229</v>
      </c>
      <c r="B27" s="18" t="n">
        <f aca="false">IRR(B22:G22)</f>
        <v>0.670736297514773</v>
      </c>
    </row>
    <row r="28" customFormat="false" ht="15" hidden="false" customHeight="false" outlineLevel="0" collapsed="false">
      <c r="A28" s="7" t="s">
        <v>230</v>
      </c>
      <c r="B28" s="15" t="n">
        <f aca="false">IFERROR(MATCH(TRUE(),C23:G23&gt;=0,0),"больше горизонта")</f>
        <v>2</v>
      </c>
    </row>
    <row r="29" customFormat="false" ht="15" hidden="false" customHeight="false" outlineLevel="0" collapsed="false">
      <c r="A29" s="7" t="s">
        <v>231</v>
      </c>
      <c r="B29" s="18" t="n">
        <f aca="false">SUM(C22:G22)/(-B22)</f>
        <v>4.80025173611111</v>
      </c>
    </row>
    <row r="31" customFormat="false" ht="21.75" hidden="false" customHeight="true" outlineLevel="0" collapsed="false">
      <c r="A31" s="5" t="s">
        <v>232</v>
      </c>
      <c r="B31" s="5"/>
      <c r="C31" s="5"/>
      <c r="D31" s="5"/>
      <c r="E31" s="5"/>
      <c r="F31" s="5"/>
      <c r="G31" s="5"/>
    </row>
    <row r="32" customFormat="false" ht="15" hidden="false" customHeight="false" outlineLevel="0" collapsed="false">
      <c r="A32" s="6" t="s">
        <v>233</v>
      </c>
      <c r="B32" s="6" t="n">
        <v>2500</v>
      </c>
      <c r="C32" s="6" t="n">
        <v>3000</v>
      </c>
      <c r="D32" s="6" t="n">
        <v>3500</v>
      </c>
      <c r="E32" s="6" t="n">
        <v>4000</v>
      </c>
      <c r="F32" s="6" t="n">
        <v>4500</v>
      </c>
    </row>
    <row r="33" customFormat="false" ht="15" hidden="false" customHeight="false" outlineLevel="0" collapsed="false">
      <c r="A33" s="20" t="n">
        <v>2090</v>
      </c>
      <c r="B33" s="13" t="n">
        <f aca="false">-$B$5+((2500*(1+$B$9)^0)*(2090-$B$7)-$B$10)/(1+$B$11)^1+((2500*(1+$B$9)^1)*(2090-$B$7)-$B$10)/(1+$B$11)^2+((2500*(1+$B$9)^2)*(2090-$B$7)-$B$10)/(1+$B$11)^3+((2500*(1+$B$9)^3)*(2090-$B$7)-$B$10)/(1+$B$11)^4+((2500*(1+$B$9)^4)*(2090-$B$7)-$B$10)/(1+$B$11)^5</f>
        <v>648160.63147023</v>
      </c>
      <c r="C33" s="13" t="n">
        <f aca="false">-$B$5+((3000*(1+$B$9)^0)*(2090-$B$7)-$B$10)/(1+$B$11)^1+((3000*(1+$B$9)^1)*(2090-$B$7)-$B$10)/(1+$B$11)^2+((3000*(1+$B$9)^2)*(2090-$B$7)-$B$10)/(1+$B$11)^3+((3000*(1+$B$9)^3)*(2090-$B$7)-$B$10)/(1+$B$11)^4+((3000*(1+$B$9)^4)*(2090-$B$7)-$B$10)/(1+$B$11)^5</f>
        <v>2323764.9799865</v>
      </c>
      <c r="D33" s="13" t="n">
        <f aca="false">-$B$5+((3500*(1+$B$9)^0)*(2090-$B$7)-$B$10)/(1+$B$11)^1+((3500*(1+$B$9)^1)*(2090-$B$7)-$B$10)/(1+$B$11)^2+((3500*(1+$B$9)^2)*(2090-$B$7)-$B$10)/(1+$B$11)^3+((3500*(1+$B$9)^3)*(2090-$B$7)-$B$10)/(1+$B$11)^4+((3500*(1+$B$9)^4)*(2090-$B$7)-$B$10)/(1+$B$11)^5</f>
        <v>3999369.32850277</v>
      </c>
      <c r="E33" s="13" t="n">
        <f aca="false">-$B$5+((4000*(1+$B$9)^0)*(2090-$B$7)-$B$10)/(1+$B$11)^1+((4000*(1+$B$9)^1)*(2090-$B$7)-$B$10)/(1+$B$11)^2+((4000*(1+$B$9)^2)*(2090-$B$7)-$B$10)/(1+$B$11)^3+((4000*(1+$B$9)^3)*(2090-$B$7)-$B$10)/(1+$B$11)^4+((4000*(1+$B$9)^4)*(2090-$B$7)-$B$10)/(1+$B$11)^5</f>
        <v>5674973.67701903</v>
      </c>
      <c r="F33" s="13" t="n">
        <f aca="false">-$B$5+((4500*(1+$B$9)^0)*(2090-$B$7)-$B$10)/(1+$B$11)^1+((4500*(1+$B$9)^1)*(2090-$B$7)-$B$10)/(1+$B$11)^2+((4500*(1+$B$9)^2)*(2090-$B$7)-$B$10)/(1+$B$11)^3+((4500*(1+$B$9)^3)*(2090-$B$7)-$B$10)/(1+$B$11)^4+((4500*(1+$B$9)^4)*(2090-$B$7)-$B$10)/(1+$B$11)^5</f>
        <v>7350578.0255353</v>
      </c>
    </row>
    <row r="34" customFormat="false" ht="15" hidden="false" customHeight="false" outlineLevel="0" collapsed="false">
      <c r="A34" s="20" t="n">
        <v>2190</v>
      </c>
      <c r="B34" s="13" t="n">
        <f aca="false">-$B$5+((2500*(1+$B$9)^0)*(2190-$B$7)-$B$10)/(1+$B$11)^1+((2500*(1+$B$9)^1)*(2190-$B$7)-$B$10)/(1+$B$11)^2+((2500*(1+$B$9)^2)*(2190-$B$7)-$B$10)/(1+$B$11)^3+((2500*(1+$B$9)^3)*(2190-$B$7)-$B$10)/(1+$B$11)^4+((2500*(1+$B$9)^4)*(2190-$B$7)-$B$10)/(1+$B$11)^5</f>
        <v>1780325.73181906</v>
      </c>
      <c r="C34" s="13" t="n">
        <f aca="false">-$B$5+((3000*(1+$B$9)^0)*(2190-$B$7)-$B$10)/(1+$B$11)^1+((3000*(1+$B$9)^1)*(2190-$B$7)-$B$10)/(1+$B$11)^2+((3000*(1+$B$9)^2)*(2190-$B$7)-$B$10)/(1+$B$11)^3+((3000*(1+$B$9)^3)*(2190-$B$7)-$B$10)/(1+$B$11)^4+((3000*(1+$B$9)^4)*(2190-$B$7)-$B$10)/(1+$B$11)^5</f>
        <v>3682363.10040509</v>
      </c>
      <c r="D34" s="13" t="n">
        <f aca="false">-$B$5+((3500*(1+$B$9)^0)*(2190-$B$7)-$B$10)/(1+$B$11)^1+((3500*(1+$B$9)^1)*(2190-$B$7)-$B$10)/(1+$B$11)^2+((3500*(1+$B$9)^2)*(2190-$B$7)-$B$10)/(1+$B$11)^3+((3500*(1+$B$9)^3)*(2190-$B$7)-$B$10)/(1+$B$11)^4+((3500*(1+$B$9)^4)*(2190-$B$7)-$B$10)/(1+$B$11)^5</f>
        <v>5584400.46899113</v>
      </c>
      <c r="E34" s="13" t="n">
        <f aca="false">-$B$5+((4000*(1+$B$9)^0)*(2190-$B$7)-$B$10)/(1+$B$11)^1+((4000*(1+$B$9)^1)*(2190-$B$7)-$B$10)/(1+$B$11)^2+((4000*(1+$B$9)^2)*(2190-$B$7)-$B$10)/(1+$B$11)^3+((4000*(1+$B$9)^3)*(2190-$B$7)-$B$10)/(1+$B$11)^4+((4000*(1+$B$9)^4)*(2190-$B$7)-$B$10)/(1+$B$11)^5</f>
        <v>7486437.83757716</v>
      </c>
      <c r="F34" s="13" t="n">
        <f aca="false">-$B$5+((4500*(1+$B$9)^0)*(2190-$B$7)-$B$10)/(1+$B$11)^1+((4500*(1+$B$9)^1)*(2190-$B$7)-$B$10)/(1+$B$11)^2+((4500*(1+$B$9)^2)*(2190-$B$7)-$B$10)/(1+$B$11)^3+((4500*(1+$B$9)^3)*(2190-$B$7)-$B$10)/(1+$B$11)^4+((4500*(1+$B$9)^4)*(2190-$B$7)-$B$10)/(1+$B$11)^5</f>
        <v>9388475.2061632</v>
      </c>
    </row>
    <row r="35" customFormat="false" ht="15" hidden="false" customHeight="false" outlineLevel="0" collapsed="false">
      <c r="A35" s="20" t="n">
        <v>2290</v>
      </c>
      <c r="B35" s="13" t="n">
        <f aca="false">-$B$5+((2500*(1+$B$9)^0)*(2290-$B$7)-$B$10)/(1+$B$11)^1+((2500*(1+$B$9)^1)*(2290-$B$7)-$B$10)/(1+$B$11)^2+((2500*(1+$B$9)^2)*(2290-$B$7)-$B$10)/(1+$B$11)^3+((2500*(1+$B$9)^3)*(2290-$B$7)-$B$10)/(1+$B$11)^4+((2500*(1+$B$9)^4)*(2290-$B$7)-$B$10)/(1+$B$11)^5</f>
        <v>2912490.83216789</v>
      </c>
      <c r="C35" s="13" t="n">
        <f aca="false">-$B$5+((3000*(1+$B$9)^0)*(2290-$B$7)-$B$10)/(1+$B$11)^1+((3000*(1+$B$9)^1)*(2290-$B$7)-$B$10)/(1+$B$11)^2+((3000*(1+$B$9)^2)*(2290-$B$7)-$B$10)/(1+$B$11)^3+((3000*(1+$B$9)^3)*(2290-$B$7)-$B$10)/(1+$B$11)^4+((3000*(1+$B$9)^4)*(2290-$B$7)-$B$10)/(1+$B$11)^5</f>
        <v>5040961.22082369</v>
      </c>
      <c r="D35" s="13" t="n">
        <f aca="false">-$B$5+((3500*(1+$B$9)^0)*(2290-$B$7)-$B$10)/(1+$B$11)^1+((3500*(1+$B$9)^1)*(2290-$B$7)-$B$10)/(1+$B$11)^2+((3500*(1+$B$9)^2)*(2290-$B$7)-$B$10)/(1+$B$11)^3+((3500*(1+$B$9)^3)*(2290-$B$7)-$B$10)/(1+$B$11)^4+((3500*(1+$B$9)^4)*(2290-$B$7)-$B$10)/(1+$B$11)^5</f>
        <v>7169431.60947949</v>
      </c>
      <c r="E35" s="13" t="n">
        <f aca="false">-$B$5+((4000*(1+$B$9)^0)*(2290-$B$7)-$B$10)/(1+$B$11)^1+((4000*(1+$B$9)^1)*(2290-$B$7)-$B$10)/(1+$B$11)^2+((4000*(1+$B$9)^2)*(2290-$B$7)-$B$10)/(1+$B$11)^3+((4000*(1+$B$9)^3)*(2290-$B$7)-$B$10)/(1+$B$11)^4+((4000*(1+$B$9)^4)*(2290-$B$7)-$B$10)/(1+$B$11)^5</f>
        <v>9297901.99813529</v>
      </c>
      <c r="F35" s="13" t="n">
        <f aca="false">-$B$5+((4500*(1+$B$9)^0)*(2290-$B$7)-$B$10)/(1+$B$11)^1+((4500*(1+$B$9)^1)*(2290-$B$7)-$B$10)/(1+$B$11)^2+((4500*(1+$B$9)^2)*(2290-$B$7)-$B$10)/(1+$B$11)^3+((4500*(1+$B$9)^3)*(2290-$B$7)-$B$10)/(1+$B$11)^4+((4500*(1+$B$9)^4)*(2290-$B$7)-$B$10)/(1+$B$11)^5</f>
        <v>11426372.3867911</v>
      </c>
    </row>
    <row r="36" customFormat="false" ht="15" hidden="false" customHeight="false" outlineLevel="0" collapsed="false">
      <c r="A36" s="20" t="n">
        <v>2390</v>
      </c>
      <c r="B36" s="13" t="n">
        <f aca="false">-$B$5+((2500*(1+$B$9)^0)*(2390-$B$7)-$B$10)/(1+$B$11)^1+((2500*(1+$B$9)^1)*(2390-$B$7)-$B$10)/(1+$B$11)^2+((2500*(1+$B$9)^2)*(2390-$B$7)-$B$10)/(1+$B$11)^3+((2500*(1+$B$9)^3)*(2390-$B$7)-$B$10)/(1+$B$11)^4+((2500*(1+$B$9)^4)*(2390-$B$7)-$B$10)/(1+$B$11)^5</f>
        <v>4044655.93251672</v>
      </c>
      <c r="C36" s="13" t="n">
        <f aca="false">-$B$5+((3000*(1+$B$9)^0)*(2390-$B$7)-$B$10)/(1+$B$11)^1+((3000*(1+$B$9)^1)*(2390-$B$7)-$B$10)/(1+$B$11)^2+((3000*(1+$B$9)^2)*(2390-$B$7)-$B$10)/(1+$B$11)^3+((3000*(1+$B$9)^3)*(2390-$B$7)-$B$10)/(1+$B$11)^4+((3000*(1+$B$9)^4)*(2390-$B$7)-$B$10)/(1+$B$11)^5</f>
        <v>6399559.34124229</v>
      </c>
      <c r="D36" s="13" t="n">
        <f aca="false">-$B$5+((3500*(1+$B$9)^0)*(2390-$B$7)-$B$10)/(1+$B$11)^1+((3500*(1+$B$9)^1)*(2390-$B$7)-$B$10)/(1+$B$11)^2+((3500*(1+$B$9)^2)*(2390-$B$7)-$B$10)/(1+$B$11)^3+((3500*(1+$B$9)^3)*(2390-$B$7)-$B$10)/(1+$B$11)^4+((3500*(1+$B$9)^4)*(2390-$B$7)-$B$10)/(1+$B$11)^5</f>
        <v>8754462.74996785</v>
      </c>
      <c r="E36" s="13" t="n">
        <f aca="false">-$B$5+((4000*(1+$B$9)^0)*(2390-$B$7)-$B$10)/(1+$B$11)^1+((4000*(1+$B$9)^1)*(2390-$B$7)-$B$10)/(1+$B$11)^2+((4000*(1+$B$9)^2)*(2390-$B$7)-$B$10)/(1+$B$11)^3+((4000*(1+$B$9)^3)*(2390-$B$7)-$B$10)/(1+$B$11)^4+((4000*(1+$B$9)^4)*(2390-$B$7)-$B$10)/(1+$B$11)^5</f>
        <v>11109366.1586934</v>
      </c>
      <c r="F36" s="13" t="n">
        <f aca="false">-$B$5+((4500*(1+$B$9)^0)*(2390-$B$7)-$B$10)/(1+$B$11)^1+((4500*(1+$B$9)^1)*(2390-$B$7)-$B$10)/(1+$B$11)^2+((4500*(1+$B$9)^2)*(2390-$B$7)-$B$10)/(1+$B$11)^3+((4500*(1+$B$9)^3)*(2390-$B$7)-$B$10)/(1+$B$11)^4+((4500*(1+$B$9)^4)*(2390-$B$7)-$B$10)/(1+$B$11)^5</f>
        <v>13464269.567419</v>
      </c>
    </row>
    <row r="37" customFormat="false" ht="15" hidden="false" customHeight="false" outlineLevel="0" collapsed="false">
      <c r="A37" s="20" t="n">
        <v>2490</v>
      </c>
      <c r="B37" s="13" t="n">
        <f aca="false">-$B$5+((2500*(1+$B$9)^0)*(2490-$B$7)-$B$10)/(1+$B$11)^1+((2500*(1+$B$9)^1)*(2490-$B$7)-$B$10)/(1+$B$11)^2+((2500*(1+$B$9)^2)*(2490-$B$7)-$B$10)/(1+$B$11)^3+((2500*(1+$B$9)^3)*(2490-$B$7)-$B$10)/(1+$B$11)^4+((2500*(1+$B$9)^4)*(2490-$B$7)-$B$10)/(1+$B$11)^5</f>
        <v>5176821.03286555</v>
      </c>
      <c r="C37" s="13" t="n">
        <f aca="false">-$B$5+((3000*(1+$B$9)^0)*(2490-$B$7)-$B$10)/(1+$B$11)^1+((3000*(1+$B$9)^1)*(2490-$B$7)-$B$10)/(1+$B$11)^2+((3000*(1+$B$9)^2)*(2490-$B$7)-$B$10)/(1+$B$11)^3+((3000*(1+$B$9)^3)*(2490-$B$7)-$B$10)/(1+$B$11)^4+((3000*(1+$B$9)^4)*(2490-$B$7)-$B$10)/(1+$B$11)^5</f>
        <v>7758157.46166088</v>
      </c>
      <c r="D37" s="13" t="n">
        <f aca="false">-$B$5+((3500*(1+$B$9)^0)*(2490-$B$7)-$B$10)/(1+$B$11)^1+((3500*(1+$B$9)^1)*(2490-$B$7)-$B$10)/(1+$B$11)^2+((3500*(1+$B$9)^2)*(2490-$B$7)-$B$10)/(1+$B$11)^3+((3500*(1+$B$9)^3)*(2490-$B$7)-$B$10)/(1+$B$11)^4+((3500*(1+$B$9)^4)*(2490-$B$7)-$B$10)/(1+$B$11)^5</f>
        <v>10339493.8904562</v>
      </c>
      <c r="E37" s="13" t="n">
        <f aca="false">-$B$5+((4000*(1+$B$9)^0)*(2490-$B$7)-$B$10)/(1+$B$11)^1+((4000*(1+$B$9)^1)*(2490-$B$7)-$B$10)/(1+$B$11)^2+((4000*(1+$B$9)^2)*(2490-$B$7)-$B$10)/(1+$B$11)^3+((4000*(1+$B$9)^3)*(2490-$B$7)-$B$10)/(1+$B$11)^4+((4000*(1+$B$9)^4)*(2490-$B$7)-$B$10)/(1+$B$11)^5</f>
        <v>12920830.3192515</v>
      </c>
      <c r="F37" s="13" t="n">
        <f aca="false">-$B$5+((4500*(1+$B$9)^0)*(2490-$B$7)-$B$10)/(1+$B$11)^1+((4500*(1+$B$9)^1)*(2490-$B$7)-$B$10)/(1+$B$11)^2+((4500*(1+$B$9)^2)*(2490-$B$7)-$B$10)/(1+$B$11)^3+((4500*(1+$B$9)^3)*(2490-$B$7)-$B$10)/(1+$B$11)^4+((4500*(1+$B$9)^4)*(2490-$B$7)-$B$10)/(1+$B$11)^5</f>
        <v>15502166.7480469</v>
      </c>
    </row>
    <row r="39" customFormat="false" ht="15" hidden="false" customHeight="false" outlineLevel="0" collapsed="false">
      <c r="A39" s="5" t="s">
        <v>51</v>
      </c>
      <c r="B39" s="5"/>
      <c r="C39" s="5"/>
      <c r="D39" s="5"/>
      <c r="E39" s="5"/>
      <c r="F39" s="5"/>
      <c r="G39" s="5"/>
    </row>
    <row r="40" customFormat="false" ht="31.5" hidden="false" customHeight="true" outlineLevel="0" collapsed="false">
      <c r="A40" s="4" t="s">
        <v>234</v>
      </c>
      <c r="B40" s="4"/>
      <c r="C40" s="4"/>
      <c r="D40" s="4"/>
      <c r="E40" s="4"/>
      <c r="F40" s="4"/>
      <c r="G40" s="4"/>
    </row>
    <row r="41" customFormat="false" ht="31.5" hidden="false" customHeight="true" outlineLevel="0" collapsed="false">
      <c r="A41" s="4" t="s">
        <v>235</v>
      </c>
      <c r="B41" s="4"/>
      <c r="C41" s="4"/>
      <c r="D41" s="4"/>
      <c r="E41" s="4"/>
      <c r="F41" s="4"/>
      <c r="G41" s="4"/>
    </row>
    <row r="42" customFormat="false" ht="31.5" hidden="false" customHeight="true" outlineLevel="0" collapsed="false">
      <c r="A42" s="4" t="s">
        <v>236</v>
      </c>
      <c r="B42" s="4"/>
      <c r="C42" s="4"/>
      <c r="D42" s="4"/>
      <c r="E42" s="4"/>
      <c r="F42" s="4"/>
      <c r="G42" s="4"/>
    </row>
    <row r="43" customFormat="false" ht="31.5" hidden="false" customHeight="true" outlineLevel="0" collapsed="false">
      <c r="A43" s="4" t="s">
        <v>237</v>
      </c>
      <c r="B43" s="4"/>
      <c r="C43" s="4"/>
      <c r="D43" s="4"/>
      <c r="E43" s="4"/>
      <c r="F43" s="4"/>
      <c r="G43" s="4"/>
    </row>
  </sheetData>
  <mergeCells count="10">
    <mergeCell ref="A2:G2"/>
    <mergeCell ref="A4:G4"/>
    <mergeCell ref="A14:G14"/>
    <mergeCell ref="A25:G25"/>
    <mergeCell ref="A31:G31"/>
    <mergeCell ref="A39:G39"/>
    <mergeCell ref="A40:G40"/>
    <mergeCell ref="A41:G41"/>
    <mergeCell ref="A42:G42"/>
    <mergeCell ref="A43:G43"/>
  </mergeCells>
  <conditionalFormatting sqref="B33:F3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.72"/>
    <col collapsed="false" customWidth="true" hidden="false" outlineLevel="0" max="14" min="2" style="0" width="11.71"/>
  </cols>
  <sheetData>
    <row r="1" customFormat="false" ht="15" hidden="false" customHeight="false" outlineLevel="0" collapsed="false">
      <c r="A1" s="1" t="s">
        <v>238</v>
      </c>
    </row>
    <row r="2" customFormat="false" ht="15" hidden="false" customHeight="true" outlineLevel="0" collapsed="false">
      <c r="A2" s="4" t="s">
        <v>239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customFormat="false" ht="30" hidden="false" customHeight="true" outlineLevel="0" collapsed="false">
      <c r="A4" s="6" t="s">
        <v>99</v>
      </c>
      <c r="B4" s="6" t="s">
        <v>131</v>
      </c>
      <c r="C4" s="6" t="s">
        <v>132</v>
      </c>
      <c r="D4" s="6" t="s">
        <v>133</v>
      </c>
      <c r="E4" s="6" t="s">
        <v>134</v>
      </c>
      <c r="F4" s="6" t="s">
        <v>135</v>
      </c>
      <c r="G4" s="6" t="s">
        <v>136</v>
      </c>
      <c r="H4" s="6" t="s">
        <v>137</v>
      </c>
      <c r="I4" s="6" t="s">
        <v>138</v>
      </c>
      <c r="J4" s="6" t="s">
        <v>139</v>
      </c>
      <c r="K4" s="6" t="s">
        <v>140</v>
      </c>
      <c r="L4" s="6" t="s">
        <v>141</v>
      </c>
      <c r="M4" s="6" t="s">
        <v>142</v>
      </c>
      <c r="N4" s="6" t="s">
        <v>143</v>
      </c>
    </row>
    <row r="5" customFormat="false" ht="15" hidden="false" customHeight="false" outlineLevel="0" collapsed="false">
      <c r="A5" s="11" t="s">
        <v>105</v>
      </c>
      <c r="B5" s="13" t="n">
        <v>682539</v>
      </c>
      <c r="C5" s="13" t="n">
        <v>658345</v>
      </c>
      <c r="D5" s="13" t="n">
        <v>781231</v>
      </c>
      <c r="E5" s="13" t="n">
        <v>761594</v>
      </c>
      <c r="F5" s="13" t="n">
        <v>774960</v>
      </c>
      <c r="G5" s="13" t="n">
        <v>713401</v>
      </c>
      <c r="H5" s="13" t="n">
        <v>703868</v>
      </c>
      <c r="I5" s="13" t="n">
        <v>669781</v>
      </c>
      <c r="J5" s="13" t="n">
        <v>769551</v>
      </c>
      <c r="K5" s="13" t="n">
        <v>831689</v>
      </c>
      <c r="L5" s="13" t="n">
        <v>1222334</v>
      </c>
      <c r="M5" s="13" t="n">
        <v>1200789</v>
      </c>
      <c r="N5" s="13" t="n">
        <f aca="false">AVERAGE(B5:M5)</f>
        <v>814173.5</v>
      </c>
    </row>
    <row r="6" customFormat="false" ht="15" hidden="false" customHeight="false" outlineLevel="0" collapsed="false">
      <c r="A6" s="11" t="s">
        <v>111</v>
      </c>
      <c r="B6" s="13" t="n">
        <v>329524</v>
      </c>
      <c r="C6" s="13" t="n">
        <v>359733</v>
      </c>
      <c r="D6" s="13" t="n">
        <v>445863</v>
      </c>
      <c r="E6" s="13" t="n">
        <v>341340</v>
      </c>
      <c r="F6" s="13" t="n">
        <v>345887</v>
      </c>
      <c r="G6" s="13" t="n">
        <v>313268</v>
      </c>
      <c r="H6" s="13" t="n">
        <v>307150</v>
      </c>
      <c r="I6" s="13" t="n">
        <v>282911</v>
      </c>
      <c r="J6" s="13" t="n">
        <v>309777</v>
      </c>
      <c r="K6" s="13" t="n">
        <v>334208</v>
      </c>
      <c r="L6" s="13" t="n">
        <v>361682</v>
      </c>
      <c r="M6" s="13" t="n">
        <v>631729</v>
      </c>
      <c r="N6" s="13" t="n">
        <f aca="false">AVERAGE(B6:M6)</f>
        <v>363589.333333333</v>
      </c>
    </row>
    <row r="7" customFormat="false" ht="15" hidden="false" customHeight="false" outlineLevel="0" collapsed="false">
      <c r="A7" s="11" t="s">
        <v>108</v>
      </c>
      <c r="B7" s="13" t="n">
        <v>657498</v>
      </c>
      <c r="C7" s="13" t="n">
        <v>609472</v>
      </c>
      <c r="D7" s="13" t="n">
        <v>582035</v>
      </c>
      <c r="E7" s="13" t="n">
        <v>535688</v>
      </c>
      <c r="F7" s="13" t="n">
        <v>511135</v>
      </c>
      <c r="G7" s="13" t="n">
        <v>463866</v>
      </c>
      <c r="H7" s="13" t="n">
        <v>489889</v>
      </c>
      <c r="I7" s="13" t="n">
        <v>413897</v>
      </c>
      <c r="J7" s="13" t="n">
        <v>374331</v>
      </c>
      <c r="K7" s="13" t="n">
        <v>396307</v>
      </c>
      <c r="L7" s="13" t="n">
        <v>393064</v>
      </c>
      <c r="M7" s="13" t="n">
        <v>291153</v>
      </c>
      <c r="N7" s="13" t="n">
        <f aca="false">AVERAGE(B7:M7)</f>
        <v>476527.916666667</v>
      </c>
    </row>
    <row r="8" customFormat="false" ht="15" hidden="false" customHeight="false" outlineLevel="0" collapsed="false">
      <c r="A8" s="11" t="s">
        <v>113</v>
      </c>
      <c r="B8" s="13" t="n">
        <v>403753</v>
      </c>
      <c r="C8" s="13" t="n">
        <v>371779</v>
      </c>
      <c r="D8" s="13" t="n">
        <v>398409</v>
      </c>
      <c r="E8" s="13" t="n">
        <v>393537</v>
      </c>
      <c r="F8" s="13" t="n">
        <v>400391</v>
      </c>
      <c r="G8" s="13" t="n">
        <v>390210</v>
      </c>
      <c r="H8" s="13" t="n">
        <v>364773</v>
      </c>
      <c r="I8" s="13" t="n">
        <v>342691</v>
      </c>
      <c r="J8" s="13" t="n">
        <v>399872</v>
      </c>
      <c r="K8" s="13" t="n">
        <v>419252</v>
      </c>
      <c r="L8" s="13" t="n">
        <v>699199</v>
      </c>
      <c r="M8" s="13" t="n">
        <v>460426</v>
      </c>
      <c r="N8" s="13" t="n">
        <f aca="false">AVERAGE(B8:M8)</f>
        <v>420357.666666667</v>
      </c>
    </row>
    <row r="9" customFormat="false" ht="15" hidden="false" customHeight="false" outlineLevel="0" collapsed="false">
      <c r="A9" s="11" t="s">
        <v>119</v>
      </c>
      <c r="B9" s="13" t="n">
        <v>47700</v>
      </c>
      <c r="C9" s="13" t="n">
        <v>48447</v>
      </c>
      <c r="D9" s="13" t="n">
        <v>48263</v>
      </c>
      <c r="E9" s="13" t="n">
        <v>48114</v>
      </c>
      <c r="F9" s="13" t="n">
        <v>50232</v>
      </c>
      <c r="G9" s="13" t="n">
        <v>54210</v>
      </c>
      <c r="H9" s="13" t="n">
        <v>78982</v>
      </c>
      <c r="I9" s="13" t="n">
        <v>155318</v>
      </c>
      <c r="J9" s="13" t="n">
        <v>167101</v>
      </c>
      <c r="K9" s="13" t="n">
        <v>75012</v>
      </c>
      <c r="L9" s="13" t="n">
        <v>49383</v>
      </c>
      <c r="M9" s="13" t="n">
        <v>121000</v>
      </c>
      <c r="N9" s="13" t="n">
        <f aca="false">AVERAGE(B9:M9)</f>
        <v>78646.8333333333</v>
      </c>
    </row>
    <row r="11" customFormat="false" ht="21.75" hidden="false" customHeight="true" outlineLevel="0" collapsed="false">
      <c r="A11" s="5" t="s">
        <v>240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30" hidden="false" customHeight="true" outlineLevel="0" collapsed="false">
      <c r="A12" s="6" t="s">
        <v>99</v>
      </c>
      <c r="B12" s="6" t="s">
        <v>131</v>
      </c>
      <c r="C12" s="6" t="s">
        <v>132</v>
      </c>
      <c r="D12" s="6" t="s">
        <v>133</v>
      </c>
      <c r="E12" s="6" t="s">
        <v>134</v>
      </c>
      <c r="F12" s="6" t="s">
        <v>135</v>
      </c>
      <c r="G12" s="6" t="s">
        <v>136</v>
      </c>
      <c r="H12" s="6" t="s">
        <v>137</v>
      </c>
      <c r="I12" s="6" t="s">
        <v>138</v>
      </c>
      <c r="J12" s="6" t="s">
        <v>139</v>
      </c>
      <c r="K12" s="6" t="s">
        <v>140</v>
      </c>
      <c r="L12" s="6" t="s">
        <v>141</v>
      </c>
      <c r="M12" s="6" t="s">
        <v>142</v>
      </c>
      <c r="N12" s="6" t="s">
        <v>143</v>
      </c>
    </row>
    <row r="13" customFormat="false" ht="15" hidden="false" customHeight="false" outlineLevel="0" collapsed="false">
      <c r="A13" s="11" t="s">
        <v>105</v>
      </c>
      <c r="B13" s="9" t="n">
        <f aca="false">B5/N5</f>
        <v>0.83832131603399</v>
      </c>
      <c r="C13" s="9" t="n">
        <f aca="false">C5/N5</f>
        <v>0.808605291132664</v>
      </c>
      <c r="D13" s="9" t="n">
        <f aca="false">D5/N5</f>
        <v>0.959538722397622</v>
      </c>
      <c r="E13" s="9" t="n">
        <f aca="false">E5/N5</f>
        <v>0.93541978460365</v>
      </c>
      <c r="F13" s="9" t="n">
        <f aca="false">F5/N5</f>
        <v>0.951836432897902</v>
      </c>
      <c r="G13" s="9" t="n">
        <f aca="false">G5/N5</f>
        <v>0.876227241490911</v>
      </c>
      <c r="H13" s="9" t="n">
        <f aca="false">H5/N5</f>
        <v>0.864518434952747</v>
      </c>
      <c r="I13" s="9" t="n">
        <f aca="false">I5/N5</f>
        <v>0.822651437316493</v>
      </c>
      <c r="J13" s="9" t="n">
        <f aca="false">J5/N5</f>
        <v>0.945192885791542</v>
      </c>
      <c r="K13" s="9" t="n">
        <f aca="false">K5/N5</f>
        <v>1.02151322783166</v>
      </c>
      <c r="L13" s="9" t="n">
        <f aca="false">L5/N5</f>
        <v>1.50131882209382</v>
      </c>
      <c r="M13" s="9" t="n">
        <f aca="false">M5/N5</f>
        <v>1.474856403457</v>
      </c>
      <c r="N13" s="9" t="n">
        <f aca="false">AVERAGE(B13:M13)</f>
        <v>1</v>
      </c>
    </row>
    <row r="14" customFormat="false" ht="15" hidden="false" customHeight="false" outlineLevel="0" collapsed="false">
      <c r="A14" s="11" t="s">
        <v>111</v>
      </c>
      <c r="B14" s="9" t="n">
        <f aca="false">B6/N6</f>
        <v>0.906308215862585</v>
      </c>
      <c r="C14" s="9" t="n">
        <f aca="false">C6/N6</f>
        <v>0.989393711586699</v>
      </c>
      <c r="D14" s="9" t="n">
        <f aca="false">D6/N6</f>
        <v>1.22628184911915</v>
      </c>
      <c r="E14" s="9" t="n">
        <f aca="false">E6/N6</f>
        <v>0.938806418963519</v>
      </c>
      <c r="F14" s="9" t="n">
        <f aca="false">F6/N6</f>
        <v>0.95131228638904</v>
      </c>
      <c r="G14" s="9" t="n">
        <f aca="false">G6/N6</f>
        <v>0.861598433397386</v>
      </c>
      <c r="H14" s="9" t="n">
        <f aca="false">H6/N6</f>
        <v>0.844771757147258</v>
      </c>
      <c r="I14" s="9" t="n">
        <f aca="false">I6/N6</f>
        <v>0.778105885027797</v>
      </c>
      <c r="J14" s="9" t="n">
        <f aca="false">J6/N6</f>
        <v>0.851996941604448</v>
      </c>
      <c r="K14" s="9" t="n">
        <f aca="false">K6/N6</f>
        <v>0.919190882020741</v>
      </c>
      <c r="L14" s="9" t="n">
        <f aca="false">L6/N6</f>
        <v>0.994754154870697</v>
      </c>
      <c r="M14" s="9" t="n">
        <f aca="false">M6/N6</f>
        <v>1.73747946401068</v>
      </c>
      <c r="N14" s="9" t="n">
        <f aca="false">AVERAGE(B14:M14)</f>
        <v>1</v>
      </c>
    </row>
    <row r="15" customFormat="false" ht="15" hidden="false" customHeight="false" outlineLevel="0" collapsed="false">
      <c r="A15" s="11" t="s">
        <v>108</v>
      </c>
      <c r="B15" s="9" t="n">
        <f aca="false">B7/N7</f>
        <v>1.37976806185717</v>
      </c>
      <c r="C15" s="9" t="n">
        <f aca="false">C7/N7</f>
        <v>1.27898487933988</v>
      </c>
      <c r="D15" s="9" t="n">
        <f aca="false">D7/N7</f>
        <v>1.22140797977034</v>
      </c>
      <c r="E15" s="9" t="n">
        <f aca="false">E7/N7</f>
        <v>1.12414820048143</v>
      </c>
      <c r="F15" s="9" t="n">
        <f aca="false">F7/N7</f>
        <v>1.07262341223451</v>
      </c>
      <c r="G15" s="9" t="n">
        <f aca="false">G7/N7</f>
        <v>0.973428804013756</v>
      </c>
      <c r="H15" s="9" t="n">
        <f aca="false">H7/N7</f>
        <v>1.02803840628435</v>
      </c>
      <c r="I15" s="9" t="n">
        <f aca="false">I7/N7</f>
        <v>0.868568210851585</v>
      </c>
      <c r="J15" s="9" t="n">
        <f aca="false">J7/N7</f>
        <v>0.785538447817415</v>
      </c>
      <c r="K15" s="9" t="n">
        <f aca="false">K7/N7</f>
        <v>0.831655368214699</v>
      </c>
      <c r="L15" s="9" t="n">
        <f aca="false">L7/N7</f>
        <v>0.82484989074617</v>
      </c>
      <c r="M15" s="9" t="n">
        <f aca="false">M7/N7</f>
        <v>0.610988338388709</v>
      </c>
      <c r="N15" s="9" t="n">
        <f aca="false">AVERAGE(B15:M15)</f>
        <v>1</v>
      </c>
    </row>
    <row r="16" customFormat="false" ht="15" hidden="false" customHeight="false" outlineLevel="0" collapsed="false">
      <c r="A16" s="11" t="s">
        <v>113</v>
      </c>
      <c r="B16" s="9" t="n">
        <f aca="false">B8/N8</f>
        <v>0.960498718155095</v>
      </c>
      <c r="C16" s="9" t="n">
        <f aca="false">C8/N8</f>
        <v>0.884434921689704</v>
      </c>
      <c r="D16" s="9" t="n">
        <f aca="false">D8/N8</f>
        <v>0.947785734846436</v>
      </c>
      <c r="E16" s="9" t="n">
        <f aca="false">E8/N8</f>
        <v>0.936195604853962</v>
      </c>
      <c r="F16" s="9" t="n">
        <f aca="false">F8/N8</f>
        <v>0.952500767203802</v>
      </c>
      <c r="G16" s="9" t="n">
        <f aca="false">G8/N8</f>
        <v>0.928280916330775</v>
      </c>
      <c r="H16" s="9" t="n">
        <f aca="false">H8/N8</f>
        <v>0.867768162509228</v>
      </c>
      <c r="I16" s="9" t="n">
        <f aca="false">I8/N8</f>
        <v>0.815236707153353</v>
      </c>
      <c r="J16" s="9" t="n">
        <f aca="false">J8/N8</f>
        <v>0.951266104341303</v>
      </c>
      <c r="K16" s="9" t="n">
        <f aca="false">K8/N8</f>
        <v>0.997369700247329</v>
      </c>
      <c r="L16" s="9" t="n">
        <f aca="false">L8/N8</f>
        <v>1.66334304199678</v>
      </c>
      <c r="M16" s="9" t="n">
        <f aca="false">M8/N8</f>
        <v>1.09531962067224</v>
      </c>
      <c r="N16" s="9" t="n">
        <f aca="false">AVERAGE(B16:M16)</f>
        <v>1</v>
      </c>
    </row>
    <row r="17" customFormat="false" ht="15" hidden="false" customHeight="false" outlineLevel="0" collapsed="false">
      <c r="A17" s="11" t="s">
        <v>119</v>
      </c>
      <c r="B17" s="9" t="n">
        <f aca="false">B9/N9</f>
        <v>0.606508844390853</v>
      </c>
      <c r="C17" s="9" t="n">
        <f aca="false">C9/N9</f>
        <v>0.616007001765276</v>
      </c>
      <c r="D17" s="9" t="n">
        <f aca="false">D9/N9</f>
        <v>0.613667428864481</v>
      </c>
      <c r="E17" s="9" t="n">
        <f aca="false">E9/N9</f>
        <v>0.611772883417641</v>
      </c>
      <c r="F17" s="9" t="n">
        <f aca="false">F9/N9</f>
        <v>0.638703401917009</v>
      </c>
      <c r="G17" s="9" t="n">
        <f aca="false">G9/N9</f>
        <v>0.689283950826586</v>
      </c>
      <c r="H17" s="9" t="n">
        <f aca="false">H9/N9</f>
        <v>1.00426166766621</v>
      </c>
      <c r="I17" s="9" t="n">
        <f aca="false">I9/N9</f>
        <v>1.97487925981339</v>
      </c>
      <c r="J17" s="9" t="n">
        <f aca="false">J9/N9</f>
        <v>2.12470093095505</v>
      </c>
      <c r="K17" s="9" t="n">
        <f aca="false">K9/N9</f>
        <v>0.95378283931754</v>
      </c>
      <c r="L17" s="9" t="n">
        <f aca="false">L9/N9</f>
        <v>0.627908307391058</v>
      </c>
      <c r="M17" s="9" t="n">
        <f aca="false">M9/N9</f>
        <v>1.53852348367491</v>
      </c>
      <c r="N17" s="9" t="n">
        <f aca="false">AVERAGE(B17:M17)</f>
        <v>1</v>
      </c>
    </row>
    <row r="20" customFormat="false" ht="21.75" hidden="false" customHeight="true" outlineLevel="0" collapsed="false">
      <c r="A20" s="5" t="s">
        <v>241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30" hidden="false" customHeight="true" outlineLevel="0" collapsed="false">
      <c r="A21" s="6" t="s">
        <v>99</v>
      </c>
      <c r="B21" s="6" t="s">
        <v>131</v>
      </c>
      <c r="C21" s="6" t="s">
        <v>132</v>
      </c>
      <c r="D21" s="6" t="s">
        <v>133</v>
      </c>
      <c r="E21" s="6" t="s">
        <v>134</v>
      </c>
      <c r="F21" s="6" t="s">
        <v>135</v>
      </c>
      <c r="G21" s="6" t="s">
        <v>136</v>
      </c>
      <c r="H21" s="6" t="s">
        <v>137</v>
      </c>
      <c r="I21" s="6" t="s">
        <v>138</v>
      </c>
      <c r="J21" s="6" t="s">
        <v>139</v>
      </c>
      <c r="K21" s="6" t="s">
        <v>140</v>
      </c>
      <c r="L21" s="6" t="s">
        <v>141</v>
      </c>
      <c r="M21" s="6" t="s">
        <v>142</v>
      </c>
      <c r="N21" s="6" t="s">
        <v>143</v>
      </c>
    </row>
    <row r="22" customFormat="false" ht="15" hidden="false" customHeight="false" outlineLevel="0" collapsed="false">
      <c r="A22" s="11" t="s">
        <v>105</v>
      </c>
      <c r="B22" s="13" t="n">
        <f aca="false">$N$22/12*B13</f>
        <v>817363.283133141</v>
      </c>
      <c r="C22" s="13" t="n">
        <f aca="false">$N$22/12*C13</f>
        <v>788390.158854347</v>
      </c>
      <c r="D22" s="13" t="n">
        <f aca="false">$N$22/12*D13</f>
        <v>935550.254337681</v>
      </c>
      <c r="E22" s="13" t="n">
        <f aca="false">$N$22/12*E13</f>
        <v>912034.289988559</v>
      </c>
      <c r="F22" s="13" t="n">
        <f aca="false">$N$22/12*F13</f>
        <v>928040.522075455</v>
      </c>
      <c r="G22" s="13" t="n">
        <f aca="false">$N$22/12*G13</f>
        <v>854321.560453638</v>
      </c>
      <c r="H22" s="13" t="n">
        <f aca="false">$N$22/12*H13</f>
        <v>842905.474078928</v>
      </c>
      <c r="I22" s="13" t="n">
        <f aca="false">$N$22/12*I13</f>
        <v>802085.151383581</v>
      </c>
      <c r="J22" s="13" t="n">
        <f aca="false">$N$22/12*J13</f>
        <v>921563.063646753</v>
      </c>
      <c r="K22" s="13" t="n">
        <f aca="false">$N$22/12*K13</f>
        <v>995975.397135869</v>
      </c>
      <c r="L22" s="13" t="n">
        <f aca="false">$N$22/12*L13</f>
        <v>1463785.85154147</v>
      </c>
      <c r="M22" s="13" t="n">
        <f aca="false">$N$22/12*M13</f>
        <v>1437984.99337058</v>
      </c>
      <c r="N22" s="13" t="n">
        <f aca="false">11700000</f>
        <v>11700000</v>
      </c>
    </row>
    <row r="23" customFormat="false" ht="15" hidden="false" customHeight="false" outlineLevel="0" collapsed="false">
      <c r="A23" s="11" t="s">
        <v>111</v>
      </c>
      <c r="B23" s="13" t="n">
        <f aca="false">$N$23/12*B14</f>
        <v>394244.073900224</v>
      </c>
      <c r="C23" s="13" t="n">
        <f aca="false">$N$23/12*C14</f>
        <v>430386.264540214</v>
      </c>
      <c r="D23" s="13" t="n">
        <f aca="false">$N$23/12*D14</f>
        <v>533432.604366832</v>
      </c>
      <c r="E23" s="13" t="n">
        <f aca="false">$N$23/12*E14</f>
        <v>408380.792249131</v>
      </c>
      <c r="F23" s="13" t="n">
        <f aca="false">$N$23/12*F14</f>
        <v>413820.844579232</v>
      </c>
      <c r="G23" s="13" t="n">
        <f aca="false">$N$23/12*G14</f>
        <v>374795.318527863</v>
      </c>
      <c r="H23" s="13" t="n">
        <f aca="false">$N$23/12*H14</f>
        <v>367475.714359057</v>
      </c>
      <c r="I23" s="13" t="n">
        <f aca="false">$N$23/12*I14</f>
        <v>338476.059987092</v>
      </c>
      <c r="J23" s="13" t="n">
        <f aca="false">$N$23/12*J14</f>
        <v>370618.669597935</v>
      </c>
      <c r="K23" s="13" t="n">
        <f aca="false">$N$23/12*K14</f>
        <v>399848.033679023</v>
      </c>
      <c r="L23" s="13" t="n">
        <f aca="false">$N$23/12*L14</f>
        <v>432718.057368753</v>
      </c>
      <c r="M23" s="13" t="n">
        <f aca="false">$N$23/12*M14</f>
        <v>755803.566844645</v>
      </c>
      <c r="N23" s="13" t="n">
        <f aca="false">5220000</f>
        <v>5220000</v>
      </c>
    </row>
    <row r="24" customFormat="false" ht="15" hidden="false" customHeight="false" outlineLevel="0" collapsed="false">
      <c r="A24" s="11" t="s">
        <v>108</v>
      </c>
      <c r="B24" s="13" t="n">
        <f aca="false">$N$24/12*B15</f>
        <v>797505.939753442</v>
      </c>
      <c r="C24" s="13" t="n">
        <f aca="false">$N$24/12*C15</f>
        <v>739253.260258449</v>
      </c>
      <c r="D24" s="13" t="n">
        <f aca="false">$N$24/12*D15</f>
        <v>705973.812307254</v>
      </c>
      <c r="E24" s="13" t="n">
        <f aca="false">$N$24/12*E15</f>
        <v>649757.659878269</v>
      </c>
      <c r="F24" s="13" t="n">
        <f aca="false">$N$24/12*F15</f>
        <v>619976.332271544</v>
      </c>
      <c r="G24" s="13" t="n">
        <f aca="false">$N$24/12*G15</f>
        <v>562641.848719951</v>
      </c>
      <c r="H24" s="13" t="n">
        <f aca="false">$N$24/12*H15</f>
        <v>594206.198832352</v>
      </c>
      <c r="I24" s="13" t="n">
        <f aca="false">$N$24/12*I15</f>
        <v>502032.425872216</v>
      </c>
      <c r="J24" s="13" t="n">
        <f aca="false">$N$24/12*J15</f>
        <v>454041.222838466</v>
      </c>
      <c r="K24" s="13" t="n">
        <f aca="false">$N$24/12*K15</f>
        <v>480696.802828096</v>
      </c>
      <c r="L24" s="13" t="n">
        <f aca="false">$N$24/12*L15</f>
        <v>476763.236851286</v>
      </c>
      <c r="M24" s="13" t="n">
        <f aca="false">$N$24/12*M15</f>
        <v>353151.259588674</v>
      </c>
      <c r="N24" s="13" t="n">
        <f aca="false">6936000</f>
        <v>6936000</v>
      </c>
    </row>
    <row r="25" customFormat="false" ht="15" hidden="false" customHeight="false" outlineLevel="0" collapsed="false">
      <c r="A25" s="11" t="s">
        <v>113</v>
      </c>
      <c r="B25" s="13" t="n">
        <f aca="false">$N$25/12*B16</f>
        <v>490814.844977254</v>
      </c>
      <c r="C25" s="13" t="n">
        <f aca="false">$N$25/12*C16</f>
        <v>451946.244983439</v>
      </c>
      <c r="D25" s="13" t="n">
        <f aca="false">$N$25/12*D16</f>
        <v>484318.510506529</v>
      </c>
      <c r="E25" s="13" t="n">
        <f aca="false">$N$25/12*E16</f>
        <v>478395.954080374</v>
      </c>
      <c r="F25" s="13" t="n">
        <f aca="false">$N$25/12*F16</f>
        <v>486727.892041143</v>
      </c>
      <c r="G25" s="13" t="n">
        <f aca="false">$N$25/12*G16</f>
        <v>474351.548245026</v>
      </c>
      <c r="H25" s="13" t="n">
        <f aca="false">$N$25/12*H16</f>
        <v>443429.531042216</v>
      </c>
      <c r="I25" s="13" t="n">
        <f aca="false">$N$25/12*I16</f>
        <v>416585.957355363</v>
      </c>
      <c r="J25" s="13" t="n">
        <f aca="false">$N$25/12*J16</f>
        <v>486096.979318406</v>
      </c>
      <c r="K25" s="13" t="n">
        <f aca="false">$N$25/12*K16</f>
        <v>509655.916826385</v>
      </c>
      <c r="L25" s="13" t="n">
        <f aca="false">$N$25/12*L16</f>
        <v>849968.294460352</v>
      </c>
      <c r="M25" s="13" t="n">
        <f aca="false">$N$25/12*M16</f>
        <v>559708.326163513</v>
      </c>
      <c r="N25" s="13" t="n">
        <f aca="false">6132000</f>
        <v>6132000</v>
      </c>
    </row>
    <row r="26" customFormat="false" ht="15" hidden="false" customHeight="false" outlineLevel="0" collapsed="false">
      <c r="A26" s="11" t="s">
        <v>119</v>
      </c>
      <c r="B26" s="13" t="n">
        <f aca="false">$N$26/12*B17</f>
        <v>57011.8313727402</v>
      </c>
      <c r="C26" s="13" t="n">
        <f aca="false">$N$26/12*C17</f>
        <v>57904.6581659359</v>
      </c>
      <c r="D26" s="13" t="n">
        <f aca="false">$N$26/12*D17</f>
        <v>57684.7383132612</v>
      </c>
      <c r="E26" s="13" t="n">
        <f aca="false">$N$26/12*E17</f>
        <v>57506.6510412583</v>
      </c>
      <c r="F26" s="13" t="n">
        <f aca="false">$N$26/12*F17</f>
        <v>60038.1197801988</v>
      </c>
      <c r="G26" s="13" t="n">
        <f aca="false">$N$26/12*G17</f>
        <v>64792.691377699</v>
      </c>
      <c r="H26" s="13" t="n">
        <f aca="false">$N$26/12*H17</f>
        <v>94400.596760624</v>
      </c>
      <c r="I26" s="13" t="n">
        <f aca="false">$N$26/12*I17</f>
        <v>185638.650422458</v>
      </c>
      <c r="J26" s="13" t="n">
        <f aca="false">$N$26/12*J17</f>
        <v>199721.887509775</v>
      </c>
      <c r="K26" s="13" t="n">
        <f aca="false">$N$26/12*K17</f>
        <v>89655.5868958487</v>
      </c>
      <c r="L26" s="13" t="n">
        <f aca="false">$N$26/12*L17</f>
        <v>59023.3808947595</v>
      </c>
      <c r="M26" s="13" t="n">
        <f aca="false">$N$26/12*M17</f>
        <v>144621.207465442</v>
      </c>
      <c r="N26" s="13" t="n">
        <f aca="false">1128000</f>
        <v>1128000</v>
      </c>
    </row>
    <row r="48" customFormat="false" ht="15" hidden="false" customHeight="false" outlineLevel="0" collapsed="false">
      <c r="A48" s="5" t="s">
        <v>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31.5" hidden="false" customHeight="true" outlineLevel="0" collapsed="false">
      <c r="A49" s="4" t="s">
        <v>242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customFormat="false" ht="31.5" hidden="false" customHeight="true" outlineLevel="0" collapsed="false">
      <c r="A50" s="4" t="s">
        <v>243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customFormat="false" ht="31.5" hidden="false" customHeight="true" outlineLevel="0" collapsed="false">
      <c r="A51" s="4" t="s">
        <v>244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customFormat="false" ht="31.5" hidden="false" customHeight="true" outlineLevel="0" collapsed="false">
      <c r="A52" s="4" t="s">
        <v>245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</sheetData>
  <mergeCells count="8">
    <mergeCell ref="A2:N2"/>
    <mergeCell ref="A11:N11"/>
    <mergeCell ref="A20:N20"/>
    <mergeCell ref="A48:N48"/>
    <mergeCell ref="A49:N49"/>
    <mergeCell ref="A50:N50"/>
    <mergeCell ref="A51:N51"/>
    <mergeCell ref="A52:N52"/>
  </mergeCells>
  <conditionalFormatting sqref="B13:M17">
    <cfRule type="colorScale" priority="2">
      <colorScale>
        <cfvo type="min" val="0"/>
        <cfvo type="percentile" val="50"/>
        <cfvo type="max" val="0"/>
        <color rgb="FFFFFFFF"/>
        <color rgb="FFFFEB84"/>
        <color rgb="FF63BE7B"/>
      </colorScale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.71"/>
    <col collapsed="false" customWidth="true" hidden="false" outlineLevel="0" max="8" min="2" style="0" width="16.71"/>
  </cols>
  <sheetData>
    <row r="1" customFormat="false" ht="15" hidden="false" customHeight="false" outlineLevel="0" collapsed="false">
      <c r="A1" s="1" t="s">
        <v>246</v>
      </c>
    </row>
    <row r="2" customFormat="false" ht="15" hidden="false" customHeight="true" outlineLevel="0" collapsed="false">
      <c r="A2" s="4" t="s">
        <v>247</v>
      </c>
      <c r="B2" s="4"/>
      <c r="C2" s="4"/>
      <c r="D2" s="4"/>
      <c r="E2" s="4"/>
      <c r="F2" s="4"/>
      <c r="G2" s="4"/>
      <c r="H2" s="4"/>
    </row>
    <row r="4" customFormat="false" ht="37.5" hidden="false" customHeight="true" outlineLevel="0" collapsed="false">
      <c r="A4" s="6" t="s">
        <v>248</v>
      </c>
      <c r="B4" s="6" t="s">
        <v>249</v>
      </c>
      <c r="C4" s="6" t="s">
        <v>250</v>
      </c>
      <c r="D4" s="6" t="s">
        <v>251</v>
      </c>
      <c r="E4" s="6" t="s">
        <v>252</v>
      </c>
      <c r="F4" s="6" t="s">
        <v>253</v>
      </c>
      <c r="G4" s="6" t="s">
        <v>254</v>
      </c>
      <c r="H4" s="6" t="s">
        <v>255</v>
      </c>
    </row>
    <row r="5" customFormat="false" ht="15" hidden="false" customHeight="false" outlineLevel="0" collapsed="false">
      <c r="A5" s="11" t="s">
        <v>256</v>
      </c>
      <c r="B5" s="13" t="n">
        <v>180000000</v>
      </c>
      <c r="C5" s="13" t="n">
        <v>0</v>
      </c>
      <c r="D5" s="10" t="n">
        <f aca="false">C5/B5</f>
        <v>0</v>
      </c>
      <c r="E5" s="13" t="n">
        <v>1490</v>
      </c>
      <c r="F5" s="8" t="n">
        <v>3</v>
      </c>
      <c r="G5" s="9" t="n">
        <f aca="false">(B5-C5)/1000000/F5</f>
        <v>60</v>
      </c>
      <c r="H5" s="14" t="str">
        <f aca="false">IF(G5&gt;50,"GO",IF(G5&gt;20,"WAIT / тестируй","NO-GO"))</f>
        <v>GO</v>
      </c>
    </row>
    <row r="6" customFormat="false" ht="15" hidden="false" customHeight="false" outlineLevel="0" collapsed="false">
      <c r="A6" s="11" t="s">
        <v>257</v>
      </c>
      <c r="B6" s="13" t="n">
        <v>85000000</v>
      </c>
      <c r="C6" s="13" t="n">
        <v>410000</v>
      </c>
      <c r="D6" s="10" t="n">
        <f aca="false">C6/B6</f>
        <v>0.00482352941176471</v>
      </c>
      <c r="E6" s="13" t="n">
        <v>690</v>
      </c>
      <c r="F6" s="8" t="n">
        <v>2</v>
      </c>
      <c r="G6" s="9" t="n">
        <f aca="false">(B6-C6)/1000000/F6</f>
        <v>42.295</v>
      </c>
      <c r="H6" s="14" t="str">
        <f aca="false">IF(G6&gt;50,"GO",IF(G6&gt;20,"WAIT / тестируй","NO-GO"))</f>
        <v>WAIT / тестируй</v>
      </c>
    </row>
    <row r="7" customFormat="false" ht="15" hidden="false" customHeight="false" outlineLevel="0" collapsed="false">
      <c r="A7" s="11" t="s">
        <v>258</v>
      </c>
      <c r="B7" s="13" t="n">
        <v>64000000</v>
      </c>
      <c r="C7" s="13" t="n">
        <v>540000</v>
      </c>
      <c r="D7" s="10" t="n">
        <f aca="false">C7/B7</f>
        <v>0.0084375</v>
      </c>
      <c r="E7" s="13" t="n">
        <v>890</v>
      </c>
      <c r="F7" s="8" t="n">
        <v>2</v>
      </c>
      <c r="G7" s="9" t="n">
        <f aca="false">(B7-C7)/1000000/F7</f>
        <v>31.73</v>
      </c>
      <c r="H7" s="14" t="str">
        <f aca="false">IF(G7&gt;50,"GO",IF(G7&gt;20,"WAIT / тестируй","NO-GO"))</f>
        <v>WAIT / тестируй</v>
      </c>
    </row>
    <row r="8" customFormat="false" ht="15" hidden="false" customHeight="false" outlineLevel="0" collapsed="false">
      <c r="A8" s="11" t="s">
        <v>259</v>
      </c>
      <c r="B8" s="13" t="n">
        <v>42000000</v>
      </c>
      <c r="C8" s="13" t="n">
        <v>940000</v>
      </c>
      <c r="D8" s="10" t="n">
        <f aca="false">C8/B8</f>
        <v>0.0223809523809524</v>
      </c>
      <c r="E8" s="13" t="n">
        <v>1290</v>
      </c>
      <c r="F8" s="8" t="n">
        <v>1</v>
      </c>
      <c r="G8" s="9" t="n">
        <f aca="false">(B8-C8)/1000000/F8</f>
        <v>41.06</v>
      </c>
      <c r="H8" s="14" t="str">
        <f aca="false">IF(G8&gt;50,"GO",IF(G8&gt;20,"WAIT / тестируй","NO-GO"))</f>
        <v>WAIT / тестируй</v>
      </c>
    </row>
    <row r="9" customFormat="false" ht="15" hidden="false" customHeight="false" outlineLevel="0" collapsed="false">
      <c r="A9" s="11" t="s">
        <v>260</v>
      </c>
      <c r="B9" s="13" t="n">
        <v>96000000</v>
      </c>
      <c r="C9" s="13" t="n">
        <v>0</v>
      </c>
      <c r="D9" s="10" t="n">
        <f aca="false">C9/B9</f>
        <v>0</v>
      </c>
      <c r="E9" s="13" t="n">
        <v>1190</v>
      </c>
      <c r="F9" s="8" t="n">
        <v>4</v>
      </c>
      <c r="G9" s="9" t="n">
        <f aca="false">(B9-C9)/1000000/F9</f>
        <v>24</v>
      </c>
      <c r="H9" s="14" t="str">
        <f aca="false">IF(G9&gt;50,"GO",IF(G9&gt;20,"WAIT / тестируй","NO-GO"))</f>
        <v>WAIT / тестируй</v>
      </c>
    </row>
    <row r="10" customFormat="false" ht="15" hidden="false" customHeight="false" outlineLevel="0" collapsed="false">
      <c r="A10" s="11" t="s">
        <v>261</v>
      </c>
      <c r="B10" s="13" t="n">
        <v>53000000</v>
      </c>
      <c r="C10" s="13" t="n">
        <v>690000</v>
      </c>
      <c r="D10" s="10" t="n">
        <f aca="false">C10/B10</f>
        <v>0.0130188679245283</v>
      </c>
      <c r="E10" s="13" t="n">
        <v>790</v>
      </c>
      <c r="F10" s="8" t="n">
        <v>1</v>
      </c>
      <c r="G10" s="9" t="n">
        <f aca="false">(B10-C10)/1000000/F10</f>
        <v>52.31</v>
      </c>
      <c r="H10" s="14" t="str">
        <f aca="false">IF(G10&gt;50,"GO",IF(G10&gt;20,"WAIT / тестируй","NO-GO"))</f>
        <v>GO</v>
      </c>
    </row>
    <row r="11" customFormat="false" ht="15" hidden="false" customHeight="false" outlineLevel="0" collapsed="false">
      <c r="A11" s="11" t="s">
        <v>262</v>
      </c>
      <c r="B11" s="13" t="n">
        <v>72000000</v>
      </c>
      <c r="C11" s="13" t="n">
        <v>1640000</v>
      </c>
      <c r="D11" s="10" t="n">
        <f aca="false">C11/B11</f>
        <v>0.0227777777777778</v>
      </c>
      <c r="E11" s="13" t="n">
        <v>290</v>
      </c>
      <c r="F11" s="8" t="n">
        <v>2</v>
      </c>
      <c r="G11" s="9" t="n">
        <f aca="false">(B11-C11)/1000000/F11</f>
        <v>35.18</v>
      </c>
      <c r="H11" s="14" t="str">
        <f aca="false">IF(G11&gt;50,"GO",IF(G11&gt;20,"WAIT / тестируй","NO-GO"))</f>
        <v>WAIT / тестируй</v>
      </c>
    </row>
    <row r="14" customFormat="false" ht="15" hidden="false" customHeight="false" outlineLevel="0" collapsed="false">
      <c r="A14" s="5" t="s">
        <v>51</v>
      </c>
      <c r="B14" s="5"/>
      <c r="C14" s="5"/>
      <c r="D14" s="5"/>
      <c r="E14" s="5"/>
      <c r="F14" s="5"/>
      <c r="G14" s="5"/>
      <c r="H14" s="5"/>
    </row>
    <row r="15" customFormat="false" ht="31.5" hidden="false" customHeight="true" outlineLevel="0" collapsed="false">
      <c r="A15" s="4" t="s">
        <v>263</v>
      </c>
      <c r="B15" s="4"/>
      <c r="C15" s="4"/>
      <c r="D15" s="4"/>
      <c r="E15" s="4"/>
      <c r="F15" s="4"/>
      <c r="G15" s="4"/>
      <c r="H15" s="4"/>
    </row>
    <row r="16" customFormat="false" ht="31.5" hidden="false" customHeight="true" outlineLevel="0" collapsed="false">
      <c r="A16" s="4" t="s">
        <v>264</v>
      </c>
      <c r="B16" s="4"/>
      <c r="C16" s="4"/>
      <c r="D16" s="4"/>
      <c r="E16" s="4"/>
      <c r="F16" s="4"/>
      <c r="G16" s="4"/>
      <c r="H16" s="4"/>
    </row>
    <row r="17" customFormat="false" ht="31.5" hidden="false" customHeight="true" outlineLevel="0" collapsed="false">
      <c r="A17" s="4" t="s">
        <v>265</v>
      </c>
      <c r="B17" s="4"/>
      <c r="C17" s="4"/>
      <c r="D17" s="4"/>
      <c r="E17" s="4"/>
      <c r="F17" s="4"/>
      <c r="G17" s="4"/>
      <c r="H17" s="4"/>
    </row>
    <row r="18" customFormat="false" ht="31.5" hidden="false" customHeight="true" outlineLevel="0" collapsed="false">
      <c r="A18" s="4" t="s">
        <v>266</v>
      </c>
      <c r="B18" s="4"/>
      <c r="C18" s="4"/>
      <c r="D18" s="4"/>
      <c r="E18" s="4"/>
      <c r="F18" s="4"/>
      <c r="G18" s="4"/>
      <c r="H18" s="4"/>
    </row>
    <row r="19" customFormat="false" ht="31.5" hidden="false" customHeight="true" outlineLevel="0" collapsed="false">
      <c r="A19" s="4" t="s">
        <v>267</v>
      </c>
      <c r="B19" s="4"/>
      <c r="C19" s="4"/>
      <c r="D19" s="4"/>
      <c r="E19" s="4"/>
      <c r="F19" s="4"/>
      <c r="G19" s="4"/>
      <c r="H19" s="4"/>
    </row>
  </sheetData>
  <mergeCells count="7">
    <mergeCell ref="A2:H2"/>
    <mergeCell ref="A14:H14"/>
    <mergeCell ref="A15:H15"/>
    <mergeCell ref="A16:H16"/>
    <mergeCell ref="A17:H17"/>
    <mergeCell ref="A18:H18"/>
    <mergeCell ref="A19:H19"/>
  </mergeCells>
  <conditionalFormatting sqref="G5:G11">
    <cfRule type="colorScale" priority="2">
      <colorScale>
        <cfvo type="min" val="0"/>
        <cfvo type="percentile" val="50"/>
        <cfvo type="max" val="0"/>
        <color rgb="FFFFFFFF"/>
        <color rgb="FFFFEB84"/>
        <color rgb="FF63BE7B"/>
      </colorScale>
    </cfRule>
  </conditionalFormatting>
  <conditionalFormatting sqref="H5:H11">
    <cfRule type="containsText" priority="3" operator="containsText" aboveAverage="0" equalAverage="0" bottom="0" percent="0" rank="0" text="GO" dxfId="1">
      <formula>NOT(ISERROR(SEARCH("GO",H5)))</formula>
    </cfRule>
    <cfRule type="containsText" priority="4" operator="containsText" aboveAverage="0" equalAverage="0" bottom="0" percent="0" rank="0" text="WAIT" dxfId="2">
      <formula>NOT(ISERROR(SEARCH("WAIT",H5)))</formula>
    </cfRule>
    <cfRule type="containsText" priority="5" operator="containsText" aboveAverage="0" equalAverage="0" bottom="0" percent="0" rank="0" text="NO-GO" dxfId="0">
      <formula>NOT(ISERROR(SEARCH("NO-GO",H5)))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6.71"/>
    <col collapsed="false" customWidth="true" hidden="false" outlineLevel="0" max="3" min="3" style="0" width="28.72"/>
    <col collapsed="false" customWidth="true" hidden="false" outlineLevel="0" max="5" min="4" style="0" width="36.71"/>
    <col collapsed="false" customWidth="true" hidden="false" outlineLevel="0" max="6" min="6" style="0" width="24.72"/>
    <col collapsed="false" customWidth="true" hidden="false" outlineLevel="0" max="7" min="7" style="0" width="12.71"/>
  </cols>
  <sheetData>
    <row r="1" customFormat="false" ht="15" hidden="false" customHeight="false" outlineLevel="0" collapsed="false">
      <c r="A1" s="1" t="s">
        <v>268</v>
      </c>
    </row>
    <row r="2" customFormat="false" ht="15" hidden="false" customHeight="true" outlineLevel="0" collapsed="false">
      <c r="A2" s="4" t="s">
        <v>269</v>
      </c>
      <c r="B2" s="4"/>
      <c r="C2" s="4"/>
      <c r="D2" s="4"/>
      <c r="E2" s="4"/>
      <c r="F2" s="4"/>
      <c r="G2" s="4"/>
    </row>
    <row r="4" customFormat="false" ht="37.5" hidden="false" customHeight="true" outlineLevel="0" collapsed="false">
      <c r="A4" s="6" t="s">
        <v>270</v>
      </c>
      <c r="B4" s="6" t="s">
        <v>271</v>
      </c>
      <c r="C4" s="6" t="s">
        <v>272</v>
      </c>
      <c r="D4" s="6" t="s">
        <v>273</v>
      </c>
      <c r="E4" s="6" t="s">
        <v>274</v>
      </c>
      <c r="F4" s="6" t="s">
        <v>275</v>
      </c>
    </row>
    <row r="5" customFormat="false" ht="79.5" hidden="false" customHeight="true" outlineLevel="0" collapsed="false">
      <c r="A5" s="11" t="s">
        <v>276</v>
      </c>
      <c r="B5" s="8" t="n">
        <v>92</v>
      </c>
      <c r="C5" s="3" t="s">
        <v>277</v>
      </c>
      <c r="D5" s="3" t="s">
        <v>278</v>
      </c>
      <c r="E5" s="3" t="s">
        <v>279</v>
      </c>
      <c r="F5" s="8" t="n">
        <v>5</v>
      </c>
    </row>
    <row r="6" customFormat="false" ht="79.5" hidden="false" customHeight="true" outlineLevel="0" collapsed="false">
      <c r="A6" s="11" t="s">
        <v>280</v>
      </c>
      <c r="B6" s="8" t="n">
        <v>2400</v>
      </c>
      <c r="C6" s="3" t="s">
        <v>281</v>
      </c>
      <c r="D6" s="3" t="s">
        <v>282</v>
      </c>
      <c r="E6" s="3" t="s">
        <v>283</v>
      </c>
      <c r="F6" s="8" t="n">
        <v>4</v>
      </c>
    </row>
    <row r="7" customFormat="false" ht="79.5" hidden="false" customHeight="true" outlineLevel="0" collapsed="false">
      <c r="A7" s="11" t="s">
        <v>284</v>
      </c>
      <c r="B7" s="8" t="n">
        <v>1100</v>
      </c>
      <c r="C7" s="3" t="s">
        <v>285</v>
      </c>
      <c r="D7" s="3" t="s">
        <v>286</v>
      </c>
      <c r="E7" s="3" t="s">
        <v>287</v>
      </c>
      <c r="F7" s="8" t="n">
        <v>4</v>
      </c>
    </row>
    <row r="8" customFormat="false" ht="79.5" hidden="false" customHeight="true" outlineLevel="0" collapsed="false">
      <c r="A8" s="11" t="s">
        <v>288</v>
      </c>
      <c r="B8" s="8" t="n">
        <v>460</v>
      </c>
      <c r="C8" s="3" t="s">
        <v>289</v>
      </c>
      <c r="D8" s="3" t="s">
        <v>290</v>
      </c>
      <c r="E8" s="3" t="s">
        <v>291</v>
      </c>
      <c r="F8" s="8" t="n">
        <v>3</v>
      </c>
    </row>
    <row r="9" customFormat="false" ht="79.5" hidden="false" customHeight="true" outlineLevel="0" collapsed="false">
      <c r="A9" s="11" t="s">
        <v>292</v>
      </c>
      <c r="B9" s="8" t="n">
        <v>35</v>
      </c>
      <c r="C9" s="3" t="s">
        <v>293</v>
      </c>
      <c r="D9" s="3" t="s">
        <v>294</v>
      </c>
      <c r="E9" s="3" t="s">
        <v>295</v>
      </c>
      <c r="F9" s="8" t="n">
        <v>3</v>
      </c>
    </row>
    <row r="12" customFormat="false" ht="15" hidden="false" customHeight="false" outlineLevel="0" collapsed="false">
      <c r="A12" s="5" t="s">
        <v>51</v>
      </c>
      <c r="B12" s="5"/>
      <c r="C12" s="5"/>
      <c r="D12" s="5"/>
      <c r="E12" s="5"/>
      <c r="F12" s="5"/>
    </row>
    <row r="13" customFormat="false" ht="31.5" hidden="false" customHeight="true" outlineLevel="0" collapsed="false">
      <c r="A13" s="4" t="s">
        <v>296</v>
      </c>
      <c r="B13" s="4"/>
      <c r="C13" s="4"/>
      <c r="D13" s="4"/>
      <c r="E13" s="4"/>
      <c r="F13" s="4"/>
    </row>
    <row r="14" customFormat="false" ht="31.5" hidden="false" customHeight="true" outlineLevel="0" collapsed="false">
      <c r="A14" s="4" t="s">
        <v>297</v>
      </c>
      <c r="B14" s="4"/>
      <c r="C14" s="4"/>
      <c r="D14" s="4"/>
      <c r="E14" s="4"/>
      <c r="F14" s="4"/>
    </row>
    <row r="15" customFormat="false" ht="31.5" hidden="false" customHeight="true" outlineLevel="0" collapsed="false">
      <c r="A15" s="4" t="s">
        <v>298</v>
      </c>
      <c r="B15" s="4"/>
      <c r="C15" s="4"/>
      <c r="D15" s="4"/>
      <c r="E15" s="4"/>
      <c r="F15" s="4"/>
    </row>
    <row r="16" customFormat="false" ht="31.5" hidden="false" customHeight="true" outlineLevel="0" collapsed="false">
      <c r="A16" s="4" t="s">
        <v>299</v>
      </c>
      <c r="B16" s="4"/>
      <c r="C16" s="4"/>
      <c r="D16" s="4"/>
      <c r="E16" s="4"/>
      <c r="F16" s="4"/>
    </row>
    <row r="17" customFormat="false" ht="31.5" hidden="false" customHeight="true" outlineLevel="0" collapsed="false">
      <c r="A17" s="4" t="s">
        <v>300</v>
      </c>
      <c r="B17" s="4"/>
      <c r="C17" s="4"/>
      <c r="D17" s="4"/>
      <c r="E17" s="4"/>
      <c r="F17" s="4"/>
    </row>
  </sheetData>
  <mergeCells count="7">
    <mergeCell ref="A2:G2"/>
    <mergeCell ref="A12:F12"/>
    <mergeCell ref="A13:F13"/>
    <mergeCell ref="A14:F14"/>
    <mergeCell ref="A15:F15"/>
    <mergeCell ref="A16:F16"/>
    <mergeCell ref="A17:F17"/>
  </mergeCells>
  <conditionalFormatting sqref="F5:F9">
    <cfRule type="colorScale" priority="2">
      <colorScale>
        <cfvo type="min" val="0"/>
        <cfvo type="percentile" val="50"/>
        <cfvo type="max" val="0"/>
        <color rgb="FFFFFFFF"/>
        <color rgb="FFFFEB84"/>
        <color rgb="FF63BE7B"/>
      </colorScale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18.71"/>
  </cols>
  <sheetData>
    <row r="1" customFormat="false" ht="15" hidden="false" customHeight="false" outlineLevel="0" collapsed="false">
      <c r="A1" s="1" t="s">
        <v>301</v>
      </c>
    </row>
    <row r="2" customFormat="false" ht="15" hidden="false" customHeight="true" outlineLevel="0" collapsed="false">
      <c r="A2" s="4" t="s">
        <v>302</v>
      </c>
      <c r="B2" s="4"/>
      <c r="C2" s="4"/>
      <c r="D2" s="4"/>
      <c r="E2" s="4"/>
      <c r="F2" s="4"/>
      <c r="G2" s="4"/>
      <c r="H2" s="4"/>
    </row>
    <row r="4" customFormat="false" ht="15" hidden="false" customHeight="false" outlineLevel="0" collapsed="false">
      <c r="A4" s="21" t="s">
        <v>303</v>
      </c>
      <c r="B4" s="21"/>
      <c r="C4" s="21" t="s">
        <v>304</v>
      </c>
      <c r="D4" s="21"/>
      <c r="E4" s="21" t="s">
        <v>305</v>
      </c>
      <c r="F4" s="21"/>
      <c r="G4" s="21" t="s">
        <v>306</v>
      </c>
      <c r="H4" s="21"/>
    </row>
    <row r="5" customFormat="false" ht="31.5" hidden="false" customHeight="true" outlineLevel="0" collapsed="false">
      <c r="A5" s="22" t="n">
        <f aca="false">SUM(06_Юнит_экономика!G5:G10)</f>
        <v>19826600</v>
      </c>
      <c r="B5" s="22"/>
      <c r="C5" s="22" t="n">
        <f aca="false">SUM(06_Юнит_экономика!H5:H10)</f>
        <v>10122190</v>
      </c>
      <c r="D5" s="22"/>
      <c r="E5" s="23" t="n">
        <f aca="false">AVERAGE(06_Юнит_экономика!E5:E10)</f>
        <v>0.512127462594649</v>
      </c>
      <c r="F5" s="23"/>
      <c r="G5" s="23" t="n">
        <f aca="false">SUMIF(03_ABC_анализ!G5:G19,"A",03_ABC_анализ!D5:D19)/SUM(03_ABC_анализ!D5:D19)</f>
        <v>0.77515216612961</v>
      </c>
      <c r="H5" s="23"/>
    </row>
    <row r="6" customFormat="false" ht="31.5" hidden="false" customHeight="true" outlineLevel="0" collapsed="false">
      <c r="A6" s="22"/>
      <c r="B6" s="22"/>
      <c r="C6" s="22"/>
      <c r="D6" s="22"/>
      <c r="E6" s="23"/>
      <c r="F6" s="23"/>
      <c r="G6" s="23"/>
      <c r="H6" s="23"/>
    </row>
    <row r="8" customFormat="false" ht="21.75" hidden="false" customHeight="true" outlineLevel="0" collapsed="false">
      <c r="A8" s="5" t="s">
        <v>307</v>
      </c>
      <c r="B8" s="5"/>
      <c r="C8" s="5"/>
      <c r="D8" s="5"/>
      <c r="E8" s="5"/>
    </row>
    <row r="9" customFormat="false" ht="15" hidden="false" customHeight="false" outlineLevel="0" collapsed="false">
      <c r="A9" s="6" t="s">
        <v>97</v>
      </c>
      <c r="B9" s="6" t="s">
        <v>98</v>
      </c>
      <c r="C9" s="6" t="s">
        <v>99</v>
      </c>
      <c r="D9" s="6" t="s">
        <v>308</v>
      </c>
      <c r="E9" s="6" t="s">
        <v>103</v>
      </c>
    </row>
    <row r="10" customFormat="false" ht="15" hidden="false" customHeight="false" outlineLevel="0" collapsed="false">
      <c r="A10" s="8" t="n">
        <v>1</v>
      </c>
      <c r="B10" s="11" t="str">
        <f aca="false">03_ABC_анализ!B5</f>
        <v>Подушка ортопедическая 50×70</v>
      </c>
      <c r="C10" s="11" t="str">
        <f aca="false">03_ABC_анализ!C5</f>
        <v>Товары для дома</v>
      </c>
      <c r="D10" s="13" t="n">
        <f aca="false">03_ABC_анализ!D5</f>
        <v>4850000</v>
      </c>
      <c r="E10" s="14" t="str">
        <f aca="false">03_ABC_анализ!G5</f>
        <v>A</v>
      </c>
    </row>
    <row r="11" customFormat="false" ht="15" hidden="false" customHeight="false" outlineLevel="0" collapsed="false">
      <c r="A11" s="8" t="n">
        <v>2</v>
      </c>
      <c r="B11" s="11" t="str">
        <f aca="false">03_ABC_анализ!B6</f>
        <v>Набор постельного белья евро</v>
      </c>
      <c r="C11" s="11" t="str">
        <f aca="false">03_ABC_анализ!C6</f>
        <v>Товары для дома</v>
      </c>
      <c r="D11" s="13" t="n">
        <f aca="false">03_ABC_анализ!D6</f>
        <v>3920000</v>
      </c>
      <c r="E11" s="14" t="str">
        <f aca="false">03_ABC_анализ!G6</f>
        <v>A</v>
      </c>
    </row>
    <row r="12" customFormat="false" ht="15" hidden="false" customHeight="false" outlineLevel="0" collapsed="false">
      <c r="A12" s="8" t="n">
        <v>3</v>
      </c>
      <c r="B12" s="11" t="str">
        <f aca="false">03_ABC_анализ!B7</f>
        <v>Гантели разборные 10 кг</v>
      </c>
      <c r="C12" s="11" t="str">
        <f aca="false">03_ABC_анализ!C7</f>
        <v>Спорт</v>
      </c>
      <c r="D12" s="13" t="n">
        <f aca="false">03_ABC_анализ!D7</f>
        <v>3410000</v>
      </c>
      <c r="E12" s="14" t="str">
        <f aca="false">03_ABC_анализ!G7</f>
        <v>A</v>
      </c>
    </row>
    <row r="13" customFormat="false" ht="15" hidden="false" customHeight="false" outlineLevel="0" collapsed="false">
      <c r="A13" s="8" t="n">
        <v>4</v>
      </c>
      <c r="B13" s="11" t="str">
        <f aca="false">03_ABC_анализ!B8</f>
        <v>Кофеварка капельная KS-200</v>
      </c>
      <c r="C13" s="11" t="str">
        <f aca="false">03_ABC_анализ!C8</f>
        <v>Товары для дома</v>
      </c>
      <c r="D13" s="13" t="n">
        <f aca="false">03_ABC_анализ!D8</f>
        <v>2980000</v>
      </c>
      <c r="E13" s="14" t="str">
        <f aca="false">03_ABC_анализ!G8</f>
        <v>A</v>
      </c>
    </row>
    <row r="14" customFormat="false" ht="15" hidden="false" customHeight="false" outlineLevel="0" collapsed="false">
      <c r="A14" s="8" t="n">
        <v>5</v>
      </c>
      <c r="B14" s="11" t="str">
        <f aca="false">03_ABC_анализ!B9</f>
        <v>Шампунь увлажняющий 400 мл</v>
      </c>
      <c r="C14" s="11" t="str">
        <f aca="false">03_ABC_анализ!C9</f>
        <v>Косметика и уход</v>
      </c>
      <c r="D14" s="13" t="n">
        <f aca="false">03_ABC_анализ!D9</f>
        <v>2540000</v>
      </c>
      <c r="E14" s="14" t="str">
        <f aca="false">03_ABC_анализ!G9</f>
        <v>A</v>
      </c>
    </row>
    <row r="16" customFormat="false" ht="21.75" hidden="false" customHeight="true" outlineLevel="0" collapsed="false">
      <c r="A16" s="5" t="s">
        <v>309</v>
      </c>
      <c r="B16" s="5"/>
      <c r="C16" s="5"/>
      <c r="D16" s="5"/>
      <c r="E16" s="5"/>
    </row>
    <row r="17" customFormat="false" ht="15" hidden="false" customHeight="false" outlineLevel="0" collapsed="false">
      <c r="A17" s="6" t="s">
        <v>97</v>
      </c>
      <c r="B17" s="6" t="s">
        <v>248</v>
      </c>
      <c r="C17" s="6" t="s">
        <v>310</v>
      </c>
      <c r="D17" s="6" t="s">
        <v>254</v>
      </c>
      <c r="E17" s="6" t="s">
        <v>255</v>
      </c>
    </row>
    <row r="18" customFormat="false" ht="15" hidden="false" customHeight="false" outlineLevel="0" collapsed="false">
      <c r="A18" s="8" t="n">
        <v>1</v>
      </c>
      <c r="B18" s="11" t="str">
        <f aca="false">09_Gap_анализ!A5</f>
        <v>Smart-home аксессуары</v>
      </c>
      <c r="C18" s="13" t="n">
        <f aca="false">09_Gap_анализ!B5</f>
        <v>180000000</v>
      </c>
      <c r="D18" s="9" t="n">
        <f aca="false">09_Gap_анализ!G5</f>
        <v>60</v>
      </c>
      <c r="E18" s="14" t="str">
        <f aca="false">09_Gap_анализ!H5</f>
        <v>GO</v>
      </c>
    </row>
    <row r="19" customFormat="false" ht="15" hidden="false" customHeight="false" outlineLevel="0" collapsed="false">
      <c r="A19" s="8" t="n">
        <v>2</v>
      </c>
      <c r="B19" s="11" t="str">
        <f aca="false">09_Gap_анализ!A6</f>
        <v>Eco-косметика</v>
      </c>
      <c r="C19" s="13" t="n">
        <f aca="false">09_Gap_анализ!B6</f>
        <v>85000000</v>
      </c>
      <c r="D19" s="9" t="n">
        <f aca="false">09_Gap_анализ!G6</f>
        <v>42.295</v>
      </c>
      <c r="E19" s="14" t="str">
        <f aca="false">09_Gap_анализ!H6</f>
        <v>WAIT / тестируй</v>
      </c>
    </row>
    <row r="20" customFormat="false" ht="15" hidden="false" customHeight="false" outlineLevel="0" collapsed="false">
      <c r="A20" s="8" t="n">
        <v>3</v>
      </c>
      <c r="B20" s="11" t="str">
        <f aca="false">09_Gap_анализ!A7</f>
        <v>Functional спорт-аксесс.</v>
      </c>
      <c r="C20" s="13" t="n">
        <f aca="false">09_Gap_анализ!B7</f>
        <v>64000000</v>
      </c>
      <c r="D20" s="9" t="n">
        <f aca="false">09_Gap_анализ!G7</f>
        <v>31.73</v>
      </c>
      <c r="E20" s="14" t="str">
        <f aca="false">09_Gap_анализ!H7</f>
        <v>WAIT / тестируй</v>
      </c>
    </row>
    <row r="31" customFormat="false" ht="21.75" hidden="false" customHeight="true" outlineLevel="0" collapsed="false">
      <c r="A31" s="5" t="s">
        <v>311</v>
      </c>
      <c r="B31" s="5"/>
      <c r="C31" s="5"/>
      <c r="D31" s="5"/>
      <c r="E31" s="5"/>
      <c r="F31" s="5"/>
      <c r="G31" s="5"/>
      <c r="H31" s="5"/>
    </row>
    <row r="32" customFormat="false" ht="30" hidden="false" customHeight="true" outlineLevel="0" collapsed="false">
      <c r="A32" s="4" t="s">
        <v>312</v>
      </c>
      <c r="B32" s="4"/>
      <c r="C32" s="4"/>
      <c r="D32" s="4"/>
      <c r="E32" s="4"/>
      <c r="F32" s="4"/>
      <c r="G32" s="4"/>
      <c r="H32" s="4"/>
    </row>
    <row r="33" customFormat="false" ht="30" hidden="false" customHeight="true" outlineLevel="0" collapsed="false">
      <c r="A33" s="4" t="s">
        <v>313</v>
      </c>
      <c r="B33" s="4"/>
      <c r="C33" s="4"/>
      <c r="D33" s="4"/>
      <c r="E33" s="4"/>
      <c r="F33" s="4"/>
      <c r="G33" s="4"/>
      <c r="H33" s="4"/>
    </row>
    <row r="34" customFormat="false" ht="30" hidden="false" customHeight="true" outlineLevel="0" collapsed="false">
      <c r="A34" s="4" t="s">
        <v>314</v>
      </c>
      <c r="B34" s="4"/>
      <c r="C34" s="4"/>
      <c r="D34" s="4"/>
      <c r="E34" s="4"/>
      <c r="F34" s="4"/>
      <c r="G34" s="4"/>
      <c r="H34" s="4"/>
    </row>
    <row r="35" customFormat="false" ht="30" hidden="false" customHeight="true" outlineLevel="0" collapsed="false">
      <c r="A35" s="4" t="s">
        <v>315</v>
      </c>
      <c r="B35" s="4"/>
      <c r="C35" s="4"/>
      <c r="D35" s="4"/>
      <c r="E35" s="4"/>
      <c r="F35" s="4"/>
      <c r="G35" s="4"/>
      <c r="H35" s="4"/>
    </row>
    <row r="36" customFormat="false" ht="30" hidden="false" customHeight="true" outlineLevel="0" collapsed="false">
      <c r="A36" s="4" t="s">
        <v>316</v>
      </c>
      <c r="B36" s="4"/>
      <c r="C36" s="4"/>
      <c r="D36" s="4"/>
      <c r="E36" s="4"/>
      <c r="F36" s="4"/>
      <c r="G36" s="4"/>
      <c r="H36" s="4"/>
    </row>
  </sheetData>
  <mergeCells count="17"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8:E8"/>
    <mergeCell ref="A16:E16"/>
    <mergeCell ref="A31:H31"/>
    <mergeCell ref="A32:H32"/>
    <mergeCell ref="A33:H33"/>
    <mergeCell ref="A34:H34"/>
    <mergeCell ref="A35:H35"/>
    <mergeCell ref="A36:H3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2026-05-01T17:58:34Z</dcterms:created>
  <dc:creator/>
  <dc:description/>
  <dc:language>en-US</dc:language>
  <cp:lastModifiedBy/>
  <dcterms:modified xsi:type="dcterms:W3CDTF">2026-05-01T17:58:52Z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
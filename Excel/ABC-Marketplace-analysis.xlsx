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qzme/Desktop/Data-Analyst-Portfolio/Excel/"/>
    </mc:Choice>
  </mc:AlternateContent>
  <xr:revisionPtr revIDLastSave="0" documentId="8_{59BB159A-C799-B34C-996A-8C58622E3CCE}" xr6:coauthVersionLast="47" xr6:coauthVersionMax="47" xr10:uidLastSave="{00000000-0000-0000-0000-000000000000}"/>
  <bookViews>
    <workbookView xWindow="0" yWindow="660" windowWidth="30240" windowHeight="17860" activeTab="1" xr2:uid="{00000000-000D-0000-FFFF-FFFF00000000}"/>
  </bookViews>
  <sheets>
    <sheet name="Анализ" sheetId="3" r:id="rId1"/>
    <sheet name="Дашборд и итоговые показатели" sheetId="4" r:id="rId2"/>
  </sheets>
  <definedNames>
    <definedName name="_xlnm._FilterDatabase" localSheetId="0" hidden="1">Анализ!$A$1:$D$1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C5" i="4"/>
  <c r="D7" i="4"/>
  <c r="E7" i="4" s="1"/>
  <c r="D6" i="4"/>
  <c r="E6" i="4" s="1"/>
  <c r="D5" i="4"/>
  <c r="C7" i="4"/>
  <c r="C6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3" i="3"/>
  <c r="F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<sst xmlns="http://schemas.openxmlformats.org/spreadsheetml/2006/main" count="167" uniqueCount="121">
  <si>
    <t>Итоговые показатели ABC-анализа</t>
  </si>
  <si>
    <t>Категория</t>
  </si>
  <si>
    <t>Кол-во товаров</t>
  </si>
  <si>
    <t>Выручка</t>
  </si>
  <si>
    <t>Доля выручки %</t>
  </si>
  <si>
    <t>A</t>
  </si>
  <si>
    <t>B</t>
  </si>
  <si>
    <t>C</t>
  </si>
  <si>
    <t>ID Товара</t>
  </si>
  <si>
    <t>Наименование</t>
  </si>
  <si>
    <t>Выручка (руб.)</t>
  </si>
  <si>
    <t>Доля в выручке (%)</t>
  </si>
  <si>
    <t>Накопленная доля (%)</t>
  </si>
  <si>
    <t>Категория ABC</t>
  </si>
  <si>
    <t>PRD-0001</t>
  </si>
  <si>
    <t>Товар 001</t>
  </si>
  <si>
    <t>Красота</t>
  </si>
  <si>
    <t>PRD-0002</t>
  </si>
  <si>
    <t>Товар 002</t>
  </si>
  <si>
    <t>Спорт</t>
  </si>
  <si>
    <t>PRD-0003</t>
  </si>
  <si>
    <t>Товар 003</t>
  </si>
  <si>
    <t>Дом и сад</t>
  </si>
  <si>
    <t>PRD-0004</t>
  </si>
  <si>
    <t>Товар 004</t>
  </si>
  <si>
    <t>PRD-0005</t>
  </si>
  <si>
    <t>Товар 005</t>
  </si>
  <si>
    <t>PRD-0006</t>
  </si>
  <si>
    <t>Товар 006</t>
  </si>
  <si>
    <t>Одежда</t>
  </si>
  <si>
    <t>PRD-0007</t>
  </si>
  <si>
    <t>Товар 007</t>
  </si>
  <si>
    <t>PRD-0008</t>
  </si>
  <si>
    <t>Товар 008</t>
  </si>
  <si>
    <t>PRD-0009</t>
  </si>
  <si>
    <t>Товар 009</t>
  </si>
  <si>
    <t>PRD-0010</t>
  </si>
  <si>
    <t>Товар 010</t>
  </si>
  <si>
    <t>PRD-0011</t>
  </si>
  <si>
    <t>Товар 011</t>
  </si>
  <si>
    <t>PRD-0012</t>
  </si>
  <si>
    <t>Товар 012</t>
  </si>
  <si>
    <t>PRD-0013</t>
  </si>
  <si>
    <t>Товар 013</t>
  </si>
  <si>
    <t>PRD-0014</t>
  </si>
  <si>
    <t>Товар 014</t>
  </si>
  <si>
    <t>PRD-0015</t>
  </si>
  <si>
    <t>Товар 015</t>
  </si>
  <si>
    <t>PRD-0016</t>
  </si>
  <si>
    <t>Товар 016</t>
  </si>
  <si>
    <t>PRD-0017</t>
  </si>
  <si>
    <t>Товар 017</t>
  </si>
  <si>
    <t>PRD-0018</t>
  </si>
  <si>
    <t>Товар 018</t>
  </si>
  <si>
    <t>PRD-0019</t>
  </si>
  <si>
    <t>Товар 019</t>
  </si>
  <si>
    <t>Электроника</t>
  </si>
  <si>
    <t>PRD-0020</t>
  </si>
  <si>
    <t>Товар 020</t>
  </si>
  <si>
    <t>PRD-0021</t>
  </si>
  <si>
    <t>Товар 021</t>
  </si>
  <si>
    <t>PRD-0022</t>
  </si>
  <si>
    <t>Товар 022</t>
  </si>
  <si>
    <t>PRD-0023</t>
  </si>
  <si>
    <t>Товар 023</t>
  </si>
  <si>
    <t>PRD-0024</t>
  </si>
  <si>
    <t>Товар 024</t>
  </si>
  <si>
    <t>PRD-0025</t>
  </si>
  <si>
    <t>Товар 025</t>
  </si>
  <si>
    <t>PRD-0026</t>
  </si>
  <si>
    <t>Товар 026</t>
  </si>
  <si>
    <t>PRD-0027</t>
  </si>
  <si>
    <t>Товар 027</t>
  </si>
  <si>
    <t>PRD-0028</t>
  </si>
  <si>
    <t>Товар 028</t>
  </si>
  <si>
    <t>PRD-0029</t>
  </si>
  <si>
    <t>Товар 029</t>
  </si>
  <si>
    <t>PRD-0030</t>
  </si>
  <si>
    <t>Товар 030</t>
  </si>
  <si>
    <t>PRD-0031</t>
  </si>
  <si>
    <t>Товар 031</t>
  </si>
  <si>
    <t>PRD-0032</t>
  </si>
  <si>
    <t>Товар 032</t>
  </si>
  <si>
    <t>PRD-0033</t>
  </si>
  <si>
    <t>Товар 033</t>
  </si>
  <si>
    <t>PRD-0034</t>
  </si>
  <si>
    <t>Товар 034</t>
  </si>
  <si>
    <t>PRD-0035</t>
  </si>
  <si>
    <t>Товар 035</t>
  </si>
  <si>
    <t>PRD-0036</t>
  </si>
  <si>
    <t>Товар 036</t>
  </si>
  <si>
    <t>PRD-0037</t>
  </si>
  <si>
    <t>Товар 037</t>
  </si>
  <si>
    <t>PRD-0038</t>
  </si>
  <si>
    <t>Товар 038</t>
  </si>
  <si>
    <t>PRD-0039</t>
  </si>
  <si>
    <t>Товар 039</t>
  </si>
  <si>
    <t>PRD-0040</t>
  </si>
  <si>
    <t>Товар 040</t>
  </si>
  <si>
    <t>PRD-0041</t>
  </si>
  <si>
    <t>Товар 041</t>
  </si>
  <si>
    <t>PRD-0042</t>
  </si>
  <si>
    <t>Товар 042</t>
  </si>
  <si>
    <t>PRD-0043</t>
  </si>
  <si>
    <t>Товар 043</t>
  </si>
  <si>
    <t>PRD-0044</t>
  </si>
  <si>
    <t>Товар 044</t>
  </si>
  <si>
    <t>PRD-0045</t>
  </si>
  <si>
    <t>Товар 045</t>
  </si>
  <si>
    <t>PRD-0046</t>
  </si>
  <si>
    <t>Товар 046</t>
  </si>
  <si>
    <t>PRD-0047</t>
  </si>
  <si>
    <t>Товар 047</t>
  </si>
  <si>
    <t>PRD-0048</t>
  </si>
  <si>
    <t>Товар 048</t>
  </si>
  <si>
    <t>PRD-0049</t>
  </si>
  <si>
    <t>Товар 049</t>
  </si>
  <si>
    <t>PRD-0050</t>
  </si>
  <si>
    <t>Товар 050</t>
  </si>
  <si>
    <r>
      <rPr>
        <b/>
        <sz val="11"/>
        <color theme="1"/>
        <rFont val="Calibri (Body)"/>
      </rPr>
      <t>Алгоритм:</t>
    </r>
    <r>
      <rPr>
        <sz val="11"/>
        <color theme="1"/>
        <rFont val="Calibri (Body)"/>
      </rPr>
      <t xml:space="preserve">
-кол товаров считаю через =COUNTIF(Анализ!G:G, "A") ссылаясь на другой лист, с диапозоном категории ABC и критерием A, B или C.
- выручку через =SUMIF(Анализ!G:G, "A", Анализ!D:D), опираясь на диапозон категорий, критерий, и уже колонку </t>
    </r>
    <r>
      <rPr>
        <b/>
        <sz val="11"/>
        <color theme="1"/>
        <rFont val="Calibri (Body)"/>
      </rPr>
      <t xml:space="preserve">D </t>
    </r>
    <r>
      <rPr>
        <sz val="11"/>
        <color theme="1"/>
        <rFont val="Calibri (Body)"/>
      </rPr>
      <t xml:space="preserve">с выручкой за конкретный товар
- долю выручки % считаю по формуле 
</t>
    </r>
    <r>
      <rPr>
        <b/>
        <sz val="11"/>
        <color theme="1"/>
        <rFont val="Calibri (Body)"/>
      </rPr>
      <t>Доля = (Выручка товара / Общая выручка) × 100</t>
    </r>
    <r>
      <rPr>
        <sz val="11"/>
        <color theme="1"/>
        <rFont val="Calibri (Body)"/>
      </rPr>
      <t xml:space="preserve">%
с обязательной фиксацией диапозона в SUM($:$)
Диаграммы делаю через Select Data и последующий Format </t>
    </r>
  </si>
  <si>
    <r>
      <rPr>
        <b/>
        <sz val="11"/>
        <color theme="1"/>
        <rFont val="Calibri"/>
        <family val="2"/>
        <scheme val="minor"/>
      </rPr>
      <t>Вывод по ABC анализу</t>
    </r>
    <r>
      <rPr>
        <sz val="11"/>
        <color theme="1"/>
        <rFont val="Calibri"/>
        <family val="2"/>
        <scheme val="minor"/>
      </rPr>
      <t xml:space="preserve">
В результате анализа товарного ассортимента выделена категория А, которая составляет 20% от общего количества позиций, но приносит 80% выручки. Категория В занимает 30% позиций и дает около 15% выручки. Категория С (оставшиеся 50% позиций) обеспечивает только 5% выручки. Основной фокус рекомендуется направить на управление категорией А, пересмотреть закупки по категории В и сократить затраты на категорию С.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</si>
</sst>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₽-419]_-;\-* #,##0.00\ [$₽-419]_-;_-* &quot;-&quot;??\ [$₽-419]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 (Body)"/>
    </font>
    <font>
      <b/>
      <sz val="11"/>
      <color theme="1"/>
      <name val="Calibri (Body)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4" fontId="0" fillId="0" borderId="0" xfId="0" applyNumberForma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6" fillId="3" borderId="1" xfId="2" applyFont="1" applyBorder="1" applyAlignment="1">
      <alignment horizontal="left" vertical="top" wrapText="1"/>
    </xf>
    <xf numFmtId="0" fontId="6" fillId="3" borderId="2" xfId="2" applyFont="1" applyBorder="1" applyAlignment="1">
      <alignment horizontal="left" vertical="top" wrapText="1"/>
    </xf>
    <xf numFmtId="0" fontId="6" fillId="3" borderId="3" xfId="2" applyFont="1" applyBorder="1" applyAlignment="1">
      <alignment horizontal="left" vertical="top" wrapText="1"/>
    </xf>
    <xf numFmtId="0" fontId="6" fillId="3" borderId="4" xfId="2" applyFont="1" applyBorder="1" applyAlignment="1">
      <alignment horizontal="left" vertical="top" wrapText="1"/>
    </xf>
    <xf numFmtId="0" fontId="6" fillId="3" borderId="0" xfId="2" applyFont="1" applyBorder="1" applyAlignment="1">
      <alignment horizontal="left" vertical="top" wrapText="1"/>
    </xf>
    <xf numFmtId="0" fontId="6" fillId="3" borderId="5" xfId="2" applyFont="1" applyBorder="1" applyAlignment="1">
      <alignment horizontal="left" vertical="top" wrapText="1"/>
    </xf>
    <xf numFmtId="0" fontId="6" fillId="3" borderId="6" xfId="2" applyFont="1" applyBorder="1" applyAlignment="1">
      <alignment horizontal="left" vertical="top" wrapText="1"/>
    </xf>
    <xf numFmtId="0" fontId="6" fillId="3" borderId="7" xfId="2" applyFont="1" applyBorder="1" applyAlignment="1">
      <alignment horizontal="left" vertical="top" wrapText="1"/>
    </xf>
    <xf numFmtId="0" fontId="6" fillId="3" borderId="8" xfId="2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60% - Accent1" xfId="2" builtinId="32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категориям ABC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'Дашборд и итоговые показатели'!$B$5:$B$7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'Дашборд и итоговые показатели'!$D$5:$D$7</c:f>
              <c:numCache>
                <c:formatCode>_-* #,##0.00\ [$₽-419]_-;\-* #,##0.00\ [$₽-419]_-;_-* "-"??\ [$₽-419]_-;_-@_-</c:formatCode>
                <c:ptCount val="3"/>
                <c:pt idx="0">
                  <c:v>403897.45020632492</c:v>
                </c:pt>
                <c:pt idx="1">
                  <c:v>75917.945671880967</c:v>
                </c:pt>
                <c:pt idx="2">
                  <c:v>27085.242581609757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9-C247-B24B-B70B402173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88396096"/>
        <c:axId val="1688245952"/>
      </c:barChart>
      <c:catAx>
        <c:axId val="16883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Категория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45952"/>
        <c:crosses val="autoZero"/>
        <c:auto val="1"/>
        <c:lblAlgn val="ctr"/>
        <c:lblOffset val="100"/>
        <c:noMultiLvlLbl val="0"/>
      </c:catAx>
      <c:valAx>
        <c:axId val="1688245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 (руб.)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0\ [$₽-419]_-;\-* #,##0.00\ [$₽-419]_-;_-* &quot;-&quot;??\ [$₽-419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9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топ 20 товаров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Анализ!$B$2:$B$21</c:f>
              <c:strCache>
                <c:ptCount val="20"/>
                <c:pt idx="0">
                  <c:v>Товар 001</c:v>
                </c:pt>
                <c:pt idx="1">
                  <c:v>Товар 002</c:v>
                </c:pt>
                <c:pt idx="2">
                  <c:v>Товар 003</c:v>
                </c:pt>
                <c:pt idx="3">
                  <c:v>Товар 004</c:v>
                </c:pt>
                <c:pt idx="4">
                  <c:v>Товар 005</c:v>
                </c:pt>
                <c:pt idx="5">
                  <c:v>Товар 006</c:v>
                </c:pt>
                <c:pt idx="6">
                  <c:v>Товар 007</c:v>
                </c:pt>
                <c:pt idx="7">
                  <c:v>Товар 008</c:v>
                </c:pt>
                <c:pt idx="8">
                  <c:v>Товар 009</c:v>
                </c:pt>
                <c:pt idx="9">
                  <c:v>Товар 010</c:v>
                </c:pt>
                <c:pt idx="10">
                  <c:v>Товар 011</c:v>
                </c:pt>
                <c:pt idx="11">
                  <c:v>Товар 012</c:v>
                </c:pt>
                <c:pt idx="12">
                  <c:v>Товар 013</c:v>
                </c:pt>
                <c:pt idx="13">
                  <c:v>Товар 014</c:v>
                </c:pt>
                <c:pt idx="14">
                  <c:v>Товар 015</c:v>
                </c:pt>
                <c:pt idx="15">
                  <c:v>Товар 016</c:v>
                </c:pt>
                <c:pt idx="16">
                  <c:v>Товар 017</c:v>
                </c:pt>
                <c:pt idx="17">
                  <c:v>Товар 018</c:v>
                </c:pt>
                <c:pt idx="18">
                  <c:v>Товар 019</c:v>
                </c:pt>
                <c:pt idx="19">
                  <c:v>Товар 020</c:v>
                </c:pt>
              </c:strCache>
            </c:strRef>
          </c:cat>
          <c:val>
            <c:numRef>
              <c:f>Анализ!$D$2:$D$21</c:f>
              <c:numCache>
                <c:formatCode>#,##0.00</c:formatCode>
                <c:ptCount val="20"/>
                <c:pt idx="0">
                  <c:v>77304.629230690378</c:v>
                </c:pt>
                <c:pt idx="1">
                  <c:v>70034.655290108465</c:v>
                </c:pt>
                <c:pt idx="2">
                  <c:v>39207.6228804688</c:v>
                </c:pt>
                <c:pt idx="3">
                  <c:v>39029.009584437139</c:v>
                </c:pt>
                <c:pt idx="4">
                  <c:v>34089.641974236933</c:v>
                </c:pt>
                <c:pt idx="5">
                  <c:v>19402.654469089219</c:v>
                </c:pt>
                <c:pt idx="6">
                  <c:v>18683.420688898492</c:v>
                </c:pt>
                <c:pt idx="7">
                  <c:v>18402.82928240754</c:v>
                </c:pt>
                <c:pt idx="8">
                  <c:v>17339.70005866632</c:v>
                </c:pt>
                <c:pt idx="9">
                  <c:v>13469.185935719301</c:v>
                </c:pt>
                <c:pt idx="10">
                  <c:v>11263.393052506661</c:v>
                </c:pt>
                <c:pt idx="11">
                  <c:v>10833.587940604149</c:v>
                </c:pt>
                <c:pt idx="12">
                  <c:v>9863.700478310584</c:v>
                </c:pt>
                <c:pt idx="13">
                  <c:v>9181.5441090206932</c:v>
                </c:pt>
                <c:pt idx="14">
                  <c:v>8133.3161882227214</c:v>
                </c:pt>
                <c:pt idx="15">
                  <c:v>7658.559042937658</c:v>
                </c:pt>
                <c:pt idx="16">
                  <c:v>7567.053594602562</c:v>
                </c:pt>
                <c:pt idx="17">
                  <c:v>7123.438858649236</c:v>
                </c:pt>
                <c:pt idx="18">
                  <c:v>6058.3810280501766</c:v>
                </c:pt>
                <c:pt idx="19">
                  <c:v>5989.4953122688357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7-9948-9C55-6FCD6F07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529664"/>
        <c:axId val="1662927744"/>
      </c:barChart>
      <c:catAx>
        <c:axId val="17025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27744"/>
        <c:crosses val="autoZero"/>
        <c:auto val="1"/>
        <c:lblAlgn val="ctr"/>
        <c:lblOffset val="100"/>
        <c:noMultiLvlLbl val="0"/>
      </c:catAx>
      <c:valAx>
        <c:axId val="16629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2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15240</xdr:rowOff>
    </xdr:from>
    <xdr:to>
      <xdr:col>11</xdr:col>
      <xdr:colOff>457200</xdr:colOff>
      <xdr:row>15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7C6DD-B676-0889-AF92-898202B8C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11839</xdr:colOff>
      <xdr:row>15</xdr:row>
      <xdr:rowOff>184128</xdr:rowOff>
    </xdr:from>
    <xdr:to>
      <xdr:col>11</xdr:col>
      <xdr:colOff>440195</xdr:colOff>
      <xdr:row>30</xdr:row>
      <xdr:rowOff>22084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5F475-E5BF-9953-85CA-2B088CFB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7835-165D-B843-86BF-12F041D1EE29}">
  <dimension ref="A1:G51"/>
  <sheetViews>
    <sheetView zoomScale="120" zoomScaleNormal="120" workbookViewId="0">
      <selection activeCell="J19" sqref="J19"/>
    </sheetView>
  </sheetViews>
  <sheetFormatPr baseColWidth="10" defaultRowHeight="15" x14ac:dyDescent="0.2"/>
  <cols>
    <col min="1" max="1" width="13.5" customWidth="1"/>
    <col min="2" max="3" width="14.83203125" customWidth="1"/>
    <col min="4" max="4" width="18" customWidth="1"/>
    <col min="5" max="5" width="21.33203125" customWidth="1"/>
    <col min="6" max="6" width="25" customWidth="1"/>
    <col min="7" max="7" width="25.33203125" customWidth="1"/>
  </cols>
  <sheetData>
    <row r="1" spans="1:7" x14ac:dyDescent="0.2">
      <c r="A1" s="3" t="s">
        <v>8</v>
      </c>
      <c r="B1" s="3" t="s">
        <v>9</v>
      </c>
      <c r="C1" s="3" t="s">
        <v>1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">
      <c r="A2" t="s">
        <v>14</v>
      </c>
      <c r="B2" t="s">
        <v>15</v>
      </c>
      <c r="C2" t="s">
        <v>16</v>
      </c>
      <c r="D2" s="2">
        <v>77304.629230690378</v>
      </c>
      <c r="E2" s="5">
        <f>D2/SUM(D$2:D$51)</f>
        <v>0.15250450160326376</v>
      </c>
      <c r="F2" s="6">
        <f>E2</f>
        <v>0.15250450160326376</v>
      </c>
      <c r="G2" t="str">
        <f>IF(F2&lt;=80%, "A", IF(F2&lt;=95%, "B", "C"))</f>
        <v>A</v>
      </c>
    </row>
    <row r="3" spans="1:7" x14ac:dyDescent="0.2">
      <c r="A3" t="s">
        <v>17</v>
      </c>
      <c r="B3" t="s">
        <v>18</v>
      </c>
      <c r="C3" t="s">
        <v>19</v>
      </c>
      <c r="D3" s="2">
        <v>70034.655290108465</v>
      </c>
      <c r="E3" s="5">
        <f t="shared" ref="E3:E51" si="0">D3/SUM(D$2:D$51)</f>
        <v>0.13816249177137391</v>
      </c>
      <c r="F3" s="6">
        <f>F2+E3</f>
        <v>0.29066699337463764</v>
      </c>
      <c r="G3" t="str">
        <f t="shared" ref="G3:G51" si="1">IF(F3&lt;=80%, "A", IF(F3&lt;=95%, "B", "C"))</f>
        <v>A</v>
      </c>
    </row>
    <row r="4" spans="1:7" x14ac:dyDescent="0.2">
      <c r="A4" t="s">
        <v>20</v>
      </c>
      <c r="B4" t="s">
        <v>21</v>
      </c>
      <c r="C4" t="s">
        <v>22</v>
      </c>
      <c r="D4" s="2">
        <v>39207.6228804688</v>
      </c>
      <c r="E4" s="5">
        <f t="shared" si="0"/>
        <v>7.7347748070703937E-2</v>
      </c>
      <c r="F4" s="6">
        <f t="shared" ref="F4:F51" si="2">F3+E4</f>
        <v>0.36801474144534158</v>
      </c>
      <c r="G4" t="str">
        <f t="shared" si="1"/>
        <v>A</v>
      </c>
    </row>
    <row r="5" spans="1:7" x14ac:dyDescent="0.2">
      <c r="A5" t="s">
        <v>23</v>
      </c>
      <c r="B5" t="s">
        <v>24</v>
      </c>
      <c r="C5" t="s">
        <v>19</v>
      </c>
      <c r="D5" s="2">
        <v>39029.009584437139</v>
      </c>
      <c r="E5" s="5">
        <f t="shared" si="0"/>
        <v>7.6995384545232026E-2</v>
      </c>
      <c r="F5" s="6">
        <f t="shared" si="2"/>
        <v>0.4450101259905736</v>
      </c>
      <c r="G5" t="str">
        <f t="shared" si="1"/>
        <v>A</v>
      </c>
    </row>
    <row r="6" spans="1:7" x14ac:dyDescent="0.2">
      <c r="A6" t="s">
        <v>25</v>
      </c>
      <c r="B6" t="s">
        <v>26</v>
      </c>
      <c r="C6" t="s">
        <v>19</v>
      </c>
      <c r="D6" s="2">
        <v>34089.641974236933</v>
      </c>
      <c r="E6" s="5">
        <f t="shared" si="0"/>
        <v>6.7251132446421988E-2</v>
      </c>
      <c r="F6" s="6">
        <f t="shared" si="2"/>
        <v>0.51226125843699555</v>
      </c>
      <c r="G6" t="str">
        <f t="shared" si="1"/>
        <v>A</v>
      </c>
    </row>
    <row r="7" spans="1:7" x14ac:dyDescent="0.2">
      <c r="A7" t="s">
        <v>27</v>
      </c>
      <c r="B7" t="s">
        <v>28</v>
      </c>
      <c r="C7" t="s">
        <v>29</v>
      </c>
      <c r="D7" s="2">
        <v>19402.654469089219</v>
      </c>
      <c r="E7" s="5">
        <f t="shared" si="0"/>
        <v>3.8277036951547175E-2</v>
      </c>
      <c r="F7" s="6">
        <f t="shared" si="2"/>
        <v>0.55053829538854271</v>
      </c>
      <c r="G7" t="str">
        <f t="shared" si="1"/>
        <v>A</v>
      </c>
    </row>
    <row r="8" spans="1:7" x14ac:dyDescent="0.2">
      <c r="A8" t="s">
        <v>30</v>
      </c>
      <c r="B8" t="s">
        <v>31</v>
      </c>
      <c r="C8" t="s">
        <v>22</v>
      </c>
      <c r="D8" s="2">
        <v>18683.420688898492</v>
      </c>
      <c r="E8" s="5">
        <f t="shared" si="0"/>
        <v>3.6858151817813531E-2</v>
      </c>
      <c r="F8" s="6">
        <f t="shared" si="2"/>
        <v>0.5873964472063562</v>
      </c>
      <c r="G8" t="str">
        <f t="shared" si="1"/>
        <v>A</v>
      </c>
    </row>
    <row r="9" spans="1:7" x14ac:dyDescent="0.2">
      <c r="A9" t="s">
        <v>32</v>
      </c>
      <c r="B9" t="s">
        <v>33</v>
      </c>
      <c r="C9" t="s">
        <v>22</v>
      </c>
      <c r="D9" s="2">
        <v>18402.82928240754</v>
      </c>
      <c r="E9" s="5">
        <f t="shared" si="0"/>
        <v>3.6304608607957825E-2</v>
      </c>
      <c r="F9" s="6">
        <f t="shared" si="2"/>
        <v>0.62370105581431401</v>
      </c>
      <c r="G9" t="str">
        <f t="shared" si="1"/>
        <v>A</v>
      </c>
    </row>
    <row r="10" spans="1:7" x14ac:dyDescent="0.2">
      <c r="A10" t="s">
        <v>34</v>
      </c>
      <c r="B10" t="s">
        <v>35</v>
      </c>
      <c r="C10" t="s">
        <v>22</v>
      </c>
      <c r="D10" s="2">
        <v>17339.70005866632</v>
      </c>
      <c r="E10" s="5">
        <f t="shared" si="0"/>
        <v>3.4207295755933273E-2</v>
      </c>
      <c r="F10" s="6">
        <f t="shared" si="2"/>
        <v>0.6579083515702473</v>
      </c>
      <c r="G10" t="str">
        <f t="shared" si="1"/>
        <v>A</v>
      </c>
    </row>
    <row r="11" spans="1:7" x14ac:dyDescent="0.2">
      <c r="A11" t="s">
        <v>36</v>
      </c>
      <c r="B11" t="s">
        <v>37</v>
      </c>
      <c r="C11" t="s">
        <v>19</v>
      </c>
      <c r="D11" s="2">
        <v>13469.185935719301</v>
      </c>
      <c r="E11" s="5">
        <f t="shared" si="0"/>
        <v>2.6571649182854727E-2</v>
      </c>
      <c r="F11" s="6">
        <f t="shared" si="2"/>
        <v>0.684480000753102</v>
      </c>
      <c r="G11" t="str">
        <f t="shared" si="1"/>
        <v>A</v>
      </c>
    </row>
    <row r="12" spans="1:7" x14ac:dyDescent="0.2">
      <c r="A12" t="s">
        <v>38</v>
      </c>
      <c r="B12" t="s">
        <v>39</v>
      </c>
      <c r="C12" t="s">
        <v>16</v>
      </c>
      <c r="D12" s="2">
        <v>11263.393052506661</v>
      </c>
      <c r="E12" s="5">
        <f t="shared" si="0"/>
        <v>2.2220120074675269E-2</v>
      </c>
      <c r="F12" s="6">
        <f t="shared" si="2"/>
        <v>0.70670012082777722</v>
      </c>
      <c r="G12" t="str">
        <f t="shared" si="1"/>
        <v>A</v>
      </c>
    </row>
    <row r="13" spans="1:7" x14ac:dyDescent="0.2">
      <c r="A13" t="s">
        <v>40</v>
      </c>
      <c r="B13" t="s">
        <v>41</v>
      </c>
      <c r="C13" t="s">
        <v>22</v>
      </c>
      <c r="D13" s="2">
        <v>10833.587940604149</v>
      </c>
      <c r="E13" s="5">
        <f t="shared" si="0"/>
        <v>2.1372212064126209E-2</v>
      </c>
      <c r="F13" s="6">
        <f t="shared" si="2"/>
        <v>0.72807233289190343</v>
      </c>
      <c r="G13" t="str">
        <f t="shared" si="1"/>
        <v>A</v>
      </c>
    </row>
    <row r="14" spans="1:7" x14ac:dyDescent="0.2">
      <c r="A14" t="s">
        <v>42</v>
      </c>
      <c r="B14" t="s">
        <v>43</v>
      </c>
      <c r="C14" t="s">
        <v>19</v>
      </c>
      <c r="D14" s="2">
        <v>9863.700478310584</v>
      </c>
      <c r="E14" s="5">
        <f t="shared" si="0"/>
        <v>1.9458844061196669E-2</v>
      </c>
      <c r="F14" s="6">
        <f t="shared" si="2"/>
        <v>0.74753117695310012</v>
      </c>
      <c r="G14" t="str">
        <f t="shared" si="1"/>
        <v>A</v>
      </c>
    </row>
    <row r="15" spans="1:7" x14ac:dyDescent="0.2">
      <c r="A15" t="s">
        <v>44</v>
      </c>
      <c r="B15" t="s">
        <v>45</v>
      </c>
      <c r="C15" t="s">
        <v>29</v>
      </c>
      <c r="D15" s="2">
        <v>9181.5441090206932</v>
      </c>
      <c r="E15" s="5">
        <f t="shared" si="0"/>
        <v>1.8113104250407363E-2</v>
      </c>
      <c r="F15" s="6">
        <f t="shared" si="2"/>
        <v>0.76564428120350747</v>
      </c>
      <c r="G15" t="str">
        <f t="shared" si="1"/>
        <v>A</v>
      </c>
    </row>
    <row r="16" spans="1:7" x14ac:dyDescent="0.2">
      <c r="A16" t="s">
        <v>46</v>
      </c>
      <c r="B16" t="s">
        <v>47</v>
      </c>
      <c r="C16" t="s">
        <v>16</v>
      </c>
      <c r="D16" s="2">
        <v>8133.3161882227214</v>
      </c>
      <c r="E16" s="5">
        <f t="shared" si="0"/>
        <v>1.6045188289632598E-2</v>
      </c>
      <c r="F16" s="6">
        <f t="shared" si="2"/>
        <v>0.78168946949314011</v>
      </c>
      <c r="G16" t="str">
        <f t="shared" si="1"/>
        <v>A</v>
      </c>
    </row>
    <row r="17" spans="1:7" x14ac:dyDescent="0.2">
      <c r="A17" t="s">
        <v>48</v>
      </c>
      <c r="B17" t="s">
        <v>49</v>
      </c>
      <c r="C17" t="s">
        <v>29</v>
      </c>
      <c r="D17" s="2">
        <v>7658.559042937658</v>
      </c>
      <c r="E17" s="5">
        <f t="shared" si="0"/>
        <v>1.5108600111863515E-2</v>
      </c>
      <c r="F17" s="6">
        <f t="shared" si="2"/>
        <v>0.79679806960500366</v>
      </c>
      <c r="G17" t="str">
        <f t="shared" si="1"/>
        <v>A</v>
      </c>
    </row>
    <row r="18" spans="1:7" x14ac:dyDescent="0.2">
      <c r="A18" t="s">
        <v>50</v>
      </c>
      <c r="B18" t="s">
        <v>51</v>
      </c>
      <c r="C18" t="s">
        <v>16</v>
      </c>
      <c r="D18" s="2">
        <v>7567.053594602562</v>
      </c>
      <c r="E18" s="5">
        <f t="shared" si="0"/>
        <v>1.4928080614762211E-2</v>
      </c>
      <c r="F18" s="6">
        <f t="shared" si="2"/>
        <v>0.81172615021976591</v>
      </c>
      <c r="G18" t="str">
        <f t="shared" si="1"/>
        <v>B</v>
      </c>
    </row>
    <row r="19" spans="1:7" x14ac:dyDescent="0.2">
      <c r="A19" t="s">
        <v>52</v>
      </c>
      <c r="B19" t="s">
        <v>53</v>
      </c>
      <c r="C19" t="s">
        <v>19</v>
      </c>
      <c r="D19" s="2">
        <v>7123.438858649236</v>
      </c>
      <c r="E19" s="5">
        <f t="shared" si="0"/>
        <v>1.4052929347836961E-2</v>
      </c>
      <c r="F19" s="6">
        <f t="shared" si="2"/>
        <v>0.82577907956760288</v>
      </c>
      <c r="G19" t="str">
        <f t="shared" si="1"/>
        <v>B</v>
      </c>
    </row>
    <row r="20" spans="1:7" x14ac:dyDescent="0.2">
      <c r="A20" t="s">
        <v>54</v>
      </c>
      <c r="B20" t="s">
        <v>55</v>
      </c>
      <c r="C20" t="s">
        <v>56</v>
      </c>
      <c r="D20" s="2">
        <v>6058.3810280501766</v>
      </c>
      <c r="E20" s="5">
        <f t="shared" si="0"/>
        <v>1.1951811791869448E-2</v>
      </c>
      <c r="F20" s="6">
        <f t="shared" si="2"/>
        <v>0.83773089135947232</v>
      </c>
      <c r="G20" t="str">
        <f t="shared" si="1"/>
        <v>B</v>
      </c>
    </row>
    <row r="21" spans="1:7" x14ac:dyDescent="0.2">
      <c r="A21" t="s">
        <v>57</v>
      </c>
      <c r="B21" t="s">
        <v>58</v>
      </c>
      <c r="C21" t="s">
        <v>16</v>
      </c>
      <c r="D21" s="2">
        <v>5989.4953122688357</v>
      </c>
      <c r="E21" s="5">
        <f t="shared" si="0"/>
        <v>1.1815915897181594E-2</v>
      </c>
      <c r="F21" s="6">
        <f t="shared" si="2"/>
        <v>0.84954680725665388</v>
      </c>
      <c r="G21" t="str">
        <f t="shared" si="1"/>
        <v>B</v>
      </c>
    </row>
    <row r="22" spans="1:7" x14ac:dyDescent="0.2">
      <c r="A22" t="s">
        <v>59</v>
      </c>
      <c r="B22" t="s">
        <v>60</v>
      </c>
      <c r="C22" t="s">
        <v>29</v>
      </c>
      <c r="D22" s="2">
        <v>5964.749623164882</v>
      </c>
      <c r="E22" s="5">
        <f t="shared" si="0"/>
        <v>1.1767098264638969E-2</v>
      </c>
      <c r="F22" s="6">
        <f t="shared" si="2"/>
        <v>0.86131390552129283</v>
      </c>
      <c r="G22" t="str">
        <f t="shared" si="1"/>
        <v>B</v>
      </c>
    </row>
    <row r="23" spans="1:7" x14ac:dyDescent="0.2">
      <c r="A23" t="s">
        <v>61</v>
      </c>
      <c r="B23" t="s">
        <v>62</v>
      </c>
      <c r="C23" t="s">
        <v>19</v>
      </c>
      <c r="D23" s="2">
        <v>5638.9541203843291</v>
      </c>
      <c r="E23" s="5">
        <f t="shared" si="0"/>
        <v>1.1124377624612826E-2</v>
      </c>
      <c r="F23" s="6">
        <f t="shared" si="2"/>
        <v>0.87243828314590566</v>
      </c>
      <c r="G23" t="str">
        <f t="shared" si="1"/>
        <v>B</v>
      </c>
    </row>
    <row r="24" spans="1:7" x14ac:dyDescent="0.2">
      <c r="A24" t="s">
        <v>63</v>
      </c>
      <c r="B24" t="s">
        <v>64</v>
      </c>
      <c r="C24" t="s">
        <v>16</v>
      </c>
      <c r="D24" s="2">
        <v>5542.2392632721194</v>
      </c>
      <c r="E24" s="5">
        <f t="shared" si="0"/>
        <v>1.093358114543286E-2</v>
      </c>
      <c r="F24" s="6">
        <f t="shared" si="2"/>
        <v>0.88337186429133852</v>
      </c>
      <c r="G24" t="str">
        <f t="shared" si="1"/>
        <v>B</v>
      </c>
    </row>
    <row r="25" spans="1:7" x14ac:dyDescent="0.2">
      <c r="A25" t="s">
        <v>65</v>
      </c>
      <c r="B25" t="s">
        <v>66</v>
      </c>
      <c r="C25" t="s">
        <v>56</v>
      </c>
      <c r="D25" s="2">
        <v>5210.8303817759352</v>
      </c>
      <c r="E25" s="5">
        <f t="shared" si="0"/>
        <v>1.0279786582255453E-2</v>
      </c>
      <c r="F25" s="6">
        <f t="shared" si="2"/>
        <v>0.89365165087359399</v>
      </c>
      <c r="G25" t="str">
        <f t="shared" si="1"/>
        <v>B</v>
      </c>
    </row>
    <row r="26" spans="1:7" x14ac:dyDescent="0.2">
      <c r="A26" t="s">
        <v>67</v>
      </c>
      <c r="B26" t="s">
        <v>68</v>
      </c>
      <c r="C26" t="s">
        <v>56</v>
      </c>
      <c r="D26" s="2">
        <v>5157.3272700856478</v>
      </c>
      <c r="E26" s="5">
        <f t="shared" si="0"/>
        <v>1.0174237076828012E-2</v>
      </c>
      <c r="F26" s="6">
        <f t="shared" si="2"/>
        <v>0.90382588795042196</v>
      </c>
      <c r="G26" t="str">
        <f t="shared" si="1"/>
        <v>B</v>
      </c>
    </row>
    <row r="27" spans="1:7" x14ac:dyDescent="0.2">
      <c r="A27" t="s">
        <v>69</v>
      </c>
      <c r="B27" t="s">
        <v>70</v>
      </c>
      <c r="C27" t="s">
        <v>22</v>
      </c>
      <c r="D27" s="2">
        <v>4644.7158993542489</v>
      </c>
      <c r="E27" s="5">
        <f t="shared" si="0"/>
        <v>9.162971097189606E-3</v>
      </c>
      <c r="F27" s="6">
        <f t="shared" si="2"/>
        <v>0.91298885904761151</v>
      </c>
      <c r="G27" t="str">
        <f t="shared" si="1"/>
        <v>B</v>
      </c>
    </row>
    <row r="28" spans="1:7" x14ac:dyDescent="0.2">
      <c r="A28" t="s">
        <v>71</v>
      </c>
      <c r="B28" t="s">
        <v>72</v>
      </c>
      <c r="C28" t="s">
        <v>22</v>
      </c>
      <c r="D28" s="2">
        <v>4330.6412430708197</v>
      </c>
      <c r="E28" s="5">
        <f t="shared" si="0"/>
        <v>8.5433730291387851E-3</v>
      </c>
      <c r="F28" s="6">
        <f t="shared" si="2"/>
        <v>0.92153223207675028</v>
      </c>
      <c r="G28" t="str">
        <f t="shared" si="1"/>
        <v>B</v>
      </c>
    </row>
    <row r="29" spans="1:7" x14ac:dyDescent="0.2">
      <c r="A29" t="s">
        <v>73</v>
      </c>
      <c r="B29" t="s">
        <v>74</v>
      </c>
      <c r="C29" t="s">
        <v>29</v>
      </c>
      <c r="D29" s="2">
        <v>3325.6964768807588</v>
      </c>
      <c r="E29" s="5">
        <f t="shared" si="0"/>
        <v>6.5608449162456563E-3</v>
      </c>
      <c r="F29" s="6">
        <f t="shared" si="2"/>
        <v>0.92809307699299592</v>
      </c>
      <c r="G29" t="str">
        <f t="shared" si="1"/>
        <v>B</v>
      </c>
    </row>
    <row r="30" spans="1:7" x14ac:dyDescent="0.2">
      <c r="A30" t="s">
        <v>75</v>
      </c>
      <c r="B30" t="s">
        <v>76</v>
      </c>
      <c r="C30" t="s">
        <v>16</v>
      </c>
      <c r="D30" s="2">
        <v>3321.918010999761</v>
      </c>
      <c r="E30" s="5">
        <f t="shared" si="0"/>
        <v>6.5533908599783794E-3</v>
      </c>
      <c r="F30" s="6">
        <f t="shared" si="2"/>
        <v>0.93464646785297434</v>
      </c>
      <c r="G30" t="str">
        <f t="shared" si="1"/>
        <v>B</v>
      </c>
    </row>
    <row r="31" spans="1:7" x14ac:dyDescent="0.2">
      <c r="A31" t="s">
        <v>77</v>
      </c>
      <c r="B31" t="s">
        <v>78</v>
      </c>
      <c r="C31" t="s">
        <v>16</v>
      </c>
      <c r="D31" s="2">
        <v>3031.309966763768</v>
      </c>
      <c r="E31" s="5">
        <f t="shared" si="0"/>
        <v>5.9800870955187676E-3</v>
      </c>
      <c r="F31" s="6">
        <f t="shared" si="2"/>
        <v>0.94062655494849312</v>
      </c>
      <c r="G31" t="str">
        <f t="shared" si="1"/>
        <v>B</v>
      </c>
    </row>
    <row r="32" spans="1:7" x14ac:dyDescent="0.2">
      <c r="A32" t="s">
        <v>79</v>
      </c>
      <c r="B32" t="s">
        <v>80</v>
      </c>
      <c r="C32" t="s">
        <v>22</v>
      </c>
      <c r="D32" s="2">
        <v>3011.1946225578822</v>
      </c>
      <c r="E32" s="5">
        <f t="shared" si="0"/>
        <v>5.9404040833469845E-3</v>
      </c>
      <c r="F32" s="6">
        <f t="shared" si="2"/>
        <v>0.94656695903184007</v>
      </c>
      <c r="G32" t="str">
        <f t="shared" si="1"/>
        <v>B</v>
      </c>
    </row>
    <row r="33" spans="1:7" x14ac:dyDescent="0.2">
      <c r="A33" t="s">
        <v>81</v>
      </c>
      <c r="B33" t="s">
        <v>82</v>
      </c>
      <c r="C33" t="s">
        <v>16</v>
      </c>
      <c r="D33" s="2">
        <v>2702.0445098351779</v>
      </c>
      <c r="E33" s="5">
        <f t="shared" si="0"/>
        <v>5.3305210229072962E-3</v>
      </c>
      <c r="F33" s="6">
        <f t="shared" si="2"/>
        <v>0.95189748005474739</v>
      </c>
      <c r="G33" t="str">
        <f t="shared" si="1"/>
        <v>C</v>
      </c>
    </row>
    <row r="34" spans="1:7" x14ac:dyDescent="0.2">
      <c r="A34" t="s">
        <v>83</v>
      </c>
      <c r="B34" t="s">
        <v>84</v>
      </c>
      <c r="C34" t="s">
        <v>16</v>
      </c>
      <c r="D34" s="2">
        <v>2699.2311758261931</v>
      </c>
      <c r="E34" s="5">
        <f t="shared" si="0"/>
        <v>5.3249709529418427E-3</v>
      </c>
      <c r="F34" s="6">
        <f t="shared" si="2"/>
        <v>0.95722245100768921</v>
      </c>
      <c r="G34" t="str">
        <f t="shared" si="1"/>
        <v>C</v>
      </c>
    </row>
    <row r="35" spans="1:7" x14ac:dyDescent="0.2">
      <c r="A35" t="s">
        <v>85</v>
      </c>
      <c r="B35" t="s">
        <v>86</v>
      </c>
      <c r="C35" t="s">
        <v>56</v>
      </c>
      <c r="D35" s="2">
        <v>2659.4746155222151</v>
      </c>
      <c r="E35" s="5">
        <f t="shared" si="0"/>
        <v>5.2465402758277331E-3</v>
      </c>
      <c r="F35" s="6">
        <f t="shared" si="2"/>
        <v>0.96246899128351693</v>
      </c>
      <c r="G35" t="str">
        <f t="shared" si="1"/>
        <v>C</v>
      </c>
    </row>
    <row r="36" spans="1:7" x14ac:dyDescent="0.2">
      <c r="A36" t="s">
        <v>87</v>
      </c>
      <c r="B36" t="s">
        <v>88</v>
      </c>
      <c r="C36" t="s">
        <v>22</v>
      </c>
      <c r="D36" s="2">
        <v>2456.251601747128</v>
      </c>
      <c r="E36" s="5">
        <f t="shared" si="0"/>
        <v>4.8456273584706611E-3</v>
      </c>
      <c r="F36" s="6">
        <f t="shared" si="2"/>
        <v>0.96731461864198764</v>
      </c>
      <c r="G36" t="str">
        <f t="shared" si="1"/>
        <v>C</v>
      </c>
    </row>
    <row r="37" spans="1:7" x14ac:dyDescent="0.2">
      <c r="A37" t="s">
        <v>89</v>
      </c>
      <c r="B37" t="s">
        <v>90</v>
      </c>
      <c r="C37" t="s">
        <v>19</v>
      </c>
      <c r="D37" s="2">
        <v>2050.9459659794779</v>
      </c>
      <c r="E37" s="5">
        <f t="shared" si="0"/>
        <v>4.0460512581146921E-3</v>
      </c>
      <c r="F37" s="6">
        <f t="shared" si="2"/>
        <v>0.97136066990010239</v>
      </c>
      <c r="G37" t="str">
        <f t="shared" si="1"/>
        <v>C</v>
      </c>
    </row>
    <row r="38" spans="1:7" x14ac:dyDescent="0.2">
      <c r="A38" t="s">
        <v>91</v>
      </c>
      <c r="B38" t="s">
        <v>92</v>
      </c>
      <c r="C38" t="s">
        <v>22</v>
      </c>
      <c r="D38" s="2">
        <v>1800.904359894784</v>
      </c>
      <c r="E38" s="5">
        <f t="shared" si="0"/>
        <v>3.5527758760902604E-3</v>
      </c>
      <c r="F38" s="6">
        <f t="shared" si="2"/>
        <v>0.97491344577619266</v>
      </c>
      <c r="G38" t="str">
        <f t="shared" si="1"/>
        <v>C</v>
      </c>
    </row>
    <row r="39" spans="1:7" x14ac:dyDescent="0.2">
      <c r="A39" t="s">
        <v>93</v>
      </c>
      <c r="B39" t="s">
        <v>94</v>
      </c>
      <c r="C39" t="s">
        <v>19</v>
      </c>
      <c r="D39" s="2">
        <v>1778.882579699283</v>
      </c>
      <c r="E39" s="5">
        <f t="shared" si="0"/>
        <v>3.5093318980704011E-3</v>
      </c>
      <c r="F39" s="6">
        <f t="shared" si="2"/>
        <v>0.97842277767426311</v>
      </c>
      <c r="G39" t="str">
        <f t="shared" si="1"/>
        <v>C</v>
      </c>
    </row>
    <row r="40" spans="1:7" x14ac:dyDescent="0.2">
      <c r="A40" t="s">
        <v>95</v>
      </c>
      <c r="B40" t="s">
        <v>96</v>
      </c>
      <c r="C40" t="s">
        <v>56</v>
      </c>
      <c r="D40" s="2">
        <v>1644.1632342320979</v>
      </c>
      <c r="E40" s="5">
        <f t="shared" si="0"/>
        <v>3.2435611823803971E-3</v>
      </c>
      <c r="F40" s="6">
        <f t="shared" si="2"/>
        <v>0.98166633885664356</v>
      </c>
      <c r="G40" t="str">
        <f t="shared" si="1"/>
        <v>C</v>
      </c>
    </row>
    <row r="41" spans="1:7" x14ac:dyDescent="0.2">
      <c r="A41" t="s">
        <v>97</v>
      </c>
      <c r="B41" t="s">
        <v>98</v>
      </c>
      <c r="C41" t="s">
        <v>29</v>
      </c>
      <c r="D41" s="2">
        <v>1634.5569548555559</v>
      </c>
      <c r="E41" s="5">
        <f t="shared" si="0"/>
        <v>3.224610171772618E-3</v>
      </c>
      <c r="F41" s="6">
        <f t="shared" si="2"/>
        <v>0.98489094902841623</v>
      </c>
      <c r="G41" t="str">
        <f t="shared" si="1"/>
        <v>C</v>
      </c>
    </row>
    <row r="42" spans="1:7" x14ac:dyDescent="0.2">
      <c r="A42" t="s">
        <v>99</v>
      </c>
      <c r="B42" t="s">
        <v>100</v>
      </c>
      <c r="C42" t="s">
        <v>16</v>
      </c>
      <c r="D42" s="2">
        <v>1391.883425585916</v>
      </c>
      <c r="E42" s="5">
        <f t="shared" si="0"/>
        <v>2.7458703343027197E-3</v>
      </c>
      <c r="F42" s="6">
        <f t="shared" si="2"/>
        <v>0.98763681936271897</v>
      </c>
      <c r="G42" t="str">
        <f t="shared" si="1"/>
        <v>C</v>
      </c>
    </row>
    <row r="43" spans="1:7" x14ac:dyDescent="0.2">
      <c r="A43" t="s">
        <v>101</v>
      </c>
      <c r="B43" t="s">
        <v>102</v>
      </c>
      <c r="C43" t="s">
        <v>56</v>
      </c>
      <c r="D43" s="2">
        <v>1172.101599044375</v>
      </c>
      <c r="E43" s="5">
        <f t="shared" si="0"/>
        <v>2.3122906347203052E-3</v>
      </c>
      <c r="F43" s="6">
        <f t="shared" si="2"/>
        <v>0.98994910999743924</v>
      </c>
      <c r="G43" t="str">
        <f t="shared" si="1"/>
        <v>C</v>
      </c>
    </row>
    <row r="44" spans="1:7" x14ac:dyDescent="0.2">
      <c r="A44" t="s">
        <v>103</v>
      </c>
      <c r="B44" t="s">
        <v>104</v>
      </c>
      <c r="C44" t="s">
        <v>16</v>
      </c>
      <c r="D44" s="2">
        <v>1114.5763480064941</v>
      </c>
      <c r="E44" s="5">
        <f t="shared" si="0"/>
        <v>2.1988063605385489E-3</v>
      </c>
      <c r="F44" s="6">
        <f t="shared" si="2"/>
        <v>0.99214791635797783</v>
      </c>
      <c r="G44" t="str">
        <f t="shared" si="1"/>
        <v>C</v>
      </c>
    </row>
    <row r="45" spans="1:7" x14ac:dyDescent="0.2">
      <c r="A45" t="s">
        <v>105</v>
      </c>
      <c r="B45" t="s">
        <v>106</v>
      </c>
      <c r="C45" t="s">
        <v>29</v>
      </c>
      <c r="D45" s="2">
        <v>1012.621159472299</v>
      </c>
      <c r="E45" s="5">
        <f t="shared" si="0"/>
        <v>1.997671895914517E-3</v>
      </c>
      <c r="F45" s="6">
        <f t="shared" si="2"/>
        <v>0.99414558825389232</v>
      </c>
      <c r="G45" t="str">
        <f t="shared" si="1"/>
        <v>C</v>
      </c>
    </row>
    <row r="46" spans="1:7" x14ac:dyDescent="0.2">
      <c r="A46" t="s">
        <v>107</v>
      </c>
      <c r="B46" t="s">
        <v>108</v>
      </c>
      <c r="C46" t="s">
        <v>29</v>
      </c>
      <c r="D46" s="2">
        <v>959.69522508206217</v>
      </c>
      <c r="E46" s="5">
        <f t="shared" si="0"/>
        <v>1.8932610304023944E-3</v>
      </c>
      <c r="F46" s="6">
        <f t="shared" si="2"/>
        <v>0.99603884928429476</v>
      </c>
      <c r="G46" t="str">
        <f t="shared" si="1"/>
        <v>C</v>
      </c>
    </row>
    <row r="47" spans="1:7" x14ac:dyDescent="0.2">
      <c r="A47" t="s">
        <v>109</v>
      </c>
      <c r="B47" t="s">
        <v>110</v>
      </c>
      <c r="C47" t="s">
        <v>56</v>
      </c>
      <c r="D47" s="2">
        <v>912.28621324338951</v>
      </c>
      <c r="E47" s="5">
        <f t="shared" si="0"/>
        <v>1.7997338019050664E-3</v>
      </c>
      <c r="F47" s="6">
        <f t="shared" si="2"/>
        <v>0.99783858308619977</v>
      </c>
      <c r="G47" t="str">
        <f t="shared" si="1"/>
        <v>C</v>
      </c>
    </row>
    <row r="48" spans="1:7" x14ac:dyDescent="0.2">
      <c r="A48" t="s">
        <v>111</v>
      </c>
      <c r="B48" t="s">
        <v>112</v>
      </c>
      <c r="C48" t="s">
        <v>29</v>
      </c>
      <c r="D48" s="2">
        <v>535.75948388626659</v>
      </c>
      <c r="E48" s="5">
        <f t="shared" si="0"/>
        <v>1.056931957146743E-3</v>
      </c>
      <c r="F48" s="6">
        <f t="shared" si="2"/>
        <v>0.9988955150433465</v>
      </c>
      <c r="G48" t="str">
        <f t="shared" si="1"/>
        <v>C</v>
      </c>
    </row>
    <row r="49" spans="1:7" x14ac:dyDescent="0.2">
      <c r="A49" t="s">
        <v>113</v>
      </c>
      <c r="B49" t="s">
        <v>114</v>
      </c>
      <c r="C49" t="s">
        <v>19</v>
      </c>
      <c r="D49" s="2">
        <v>234.33128451434851</v>
      </c>
      <c r="E49" s="5">
        <f t="shared" si="0"/>
        <v>4.6228248050021942E-4</v>
      </c>
      <c r="F49" s="6">
        <f t="shared" si="2"/>
        <v>0.99935779752384668</v>
      </c>
      <c r="G49" t="str">
        <f t="shared" si="1"/>
        <v>C</v>
      </c>
    </row>
    <row r="50" spans="1:7" x14ac:dyDescent="0.2">
      <c r="A50" t="s">
        <v>115</v>
      </c>
      <c r="B50" t="s">
        <v>116</v>
      </c>
      <c r="C50" t="s">
        <v>29</v>
      </c>
      <c r="D50" s="2">
        <v>166.09953884940569</v>
      </c>
      <c r="E50" s="5">
        <f t="shared" si="0"/>
        <v>3.2767672053854235E-4</v>
      </c>
      <c r="F50" s="6">
        <f t="shared" si="2"/>
        <v>0.99968547424438525</v>
      </c>
      <c r="G50" t="str">
        <f t="shared" si="1"/>
        <v>C</v>
      </c>
    </row>
    <row r="51" spans="1:7" x14ac:dyDescent="0.2">
      <c r="A51" t="s">
        <v>117</v>
      </c>
      <c r="B51" t="s">
        <v>118</v>
      </c>
      <c r="C51" t="s">
        <v>16</v>
      </c>
      <c r="D51" s="2">
        <v>159.43330633328969</v>
      </c>
      <c r="E51" s="5">
        <f t="shared" si="0"/>
        <v>3.1452575561498076E-4</v>
      </c>
      <c r="F51" s="6">
        <f t="shared" si="2"/>
        <v>1.0000000000000002</v>
      </c>
      <c r="G51" t="str">
        <f t="shared" si="1"/>
        <v>C</v>
      </c>
    </row>
  </sheetData>
  <autoFilter ref="A1:D1" xr:uid="{007F7835-165D-B843-86BF-12F041D1EE29}">
    <sortState xmlns:xlrd2="http://schemas.microsoft.com/office/spreadsheetml/2017/richdata2" ref="A2:D51">
      <sortCondition descending="1" ref="D1:D51"/>
    </sortState>
  </autoFilter>
  <conditionalFormatting sqref="G2:G51">
    <cfRule type="cellIs" dxfId="2" priority="4" operator="equal">
      <formula>"A"</formula>
    </cfRule>
  </conditionalFormatting>
  <conditionalFormatting sqref="G18:G51">
    <cfRule type="cellIs" dxfId="1" priority="3" operator="equal">
      <formula>"B"</formula>
    </cfRule>
  </conditionalFormatting>
  <conditionalFormatting sqref="G33:G51">
    <cfRule type="cellIs" dxfId="0" priority="1" operator="equal">
      <formula>"C"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FC1D-88C3-914F-9680-7C6CCCD9C21B}">
  <dimension ref="B2:E32"/>
  <sheetViews>
    <sheetView tabSelected="1" zoomScale="125" zoomScaleNormal="118" workbookViewId="0">
      <selection activeCell="A11" sqref="A11"/>
    </sheetView>
  </sheetViews>
  <sheetFormatPr baseColWidth="10" defaultRowHeight="15" x14ac:dyDescent="0.2"/>
  <cols>
    <col min="2" max="3" width="16" customWidth="1"/>
    <col min="4" max="4" width="19.1640625" customWidth="1"/>
    <col min="5" max="5" width="15.83203125" customWidth="1"/>
  </cols>
  <sheetData>
    <row r="2" spans="2:5" ht="19" x14ac:dyDescent="0.25">
      <c r="B2" s="1" t="s">
        <v>0</v>
      </c>
    </row>
    <row r="4" spans="2:5" x14ac:dyDescent="0.2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2">
      <c r="B5" t="s">
        <v>5</v>
      </c>
      <c r="C5">
        <f>COUNTIF(Анализ!G:G, "A")</f>
        <v>16</v>
      </c>
      <c r="D5" s="7">
        <f>SUMIF(Анализ!G:G, "A", Анализ!D:D)</f>
        <v>403897.45020632492</v>
      </c>
      <c r="E5" s="5">
        <f>D5/SUM(D$5:D$7)</f>
        <v>0.79679806960500354</v>
      </c>
    </row>
    <row r="6" spans="2:5" x14ac:dyDescent="0.2">
      <c r="B6" t="s">
        <v>6</v>
      </c>
      <c r="C6">
        <f>COUNTIF(Анализ!G:G, "B")</f>
        <v>15</v>
      </c>
      <c r="D6" s="7">
        <f>SUMIF(Анализ!G:G, "B", Анализ!D:D)</f>
        <v>75917.945671880967</v>
      </c>
      <c r="E6" s="5">
        <f t="shared" ref="E6:E7" si="0">D6/SUM(D$5:D$7)</f>
        <v>0.14976888942683653</v>
      </c>
    </row>
    <row r="7" spans="2:5" x14ac:dyDescent="0.2">
      <c r="B7" t="s">
        <v>7</v>
      </c>
      <c r="C7">
        <f>COUNTIF(Анализ!G:G, "C")</f>
        <v>19</v>
      </c>
      <c r="D7" s="7">
        <f>SUMIF(Анализ!G:G, "C", Анализ!D:D)</f>
        <v>27085.242581609757</v>
      </c>
      <c r="E7" s="5">
        <f t="shared" si="0"/>
        <v>5.3433040968159935E-2</v>
      </c>
    </row>
    <row r="12" spans="2:5" ht="15" customHeight="1" x14ac:dyDescent="0.2">
      <c r="B12" s="8" t="s">
        <v>119</v>
      </c>
      <c r="C12" s="9"/>
      <c r="D12" s="9"/>
      <c r="E12" s="10"/>
    </row>
    <row r="13" spans="2:5" ht="15" customHeight="1" x14ac:dyDescent="0.2">
      <c r="B13" s="11"/>
      <c r="C13" s="12"/>
      <c r="D13" s="12"/>
      <c r="E13" s="13"/>
    </row>
    <row r="14" spans="2:5" ht="15" customHeight="1" x14ac:dyDescent="0.2">
      <c r="B14" s="11"/>
      <c r="C14" s="12"/>
      <c r="D14" s="12"/>
      <c r="E14" s="13"/>
    </row>
    <row r="15" spans="2:5" ht="15" customHeight="1" x14ac:dyDescent="0.2">
      <c r="B15" s="11"/>
      <c r="C15" s="12"/>
      <c r="D15" s="12"/>
      <c r="E15" s="13"/>
    </row>
    <row r="16" spans="2:5" ht="15" customHeight="1" x14ac:dyDescent="0.2">
      <c r="B16" s="11"/>
      <c r="C16" s="12"/>
      <c r="D16" s="12"/>
      <c r="E16" s="13"/>
    </row>
    <row r="17" spans="2:5" ht="15" customHeight="1" x14ac:dyDescent="0.2">
      <c r="B17" s="11"/>
      <c r="C17" s="12"/>
      <c r="D17" s="12"/>
      <c r="E17" s="13"/>
    </row>
    <row r="18" spans="2:5" x14ac:dyDescent="0.2">
      <c r="B18" s="11"/>
      <c r="C18" s="12"/>
      <c r="D18" s="12"/>
      <c r="E18" s="13"/>
    </row>
    <row r="19" spans="2:5" x14ac:dyDescent="0.2">
      <c r="B19" s="11"/>
      <c r="C19" s="12"/>
      <c r="D19" s="12"/>
      <c r="E19" s="13"/>
    </row>
    <row r="20" spans="2:5" x14ac:dyDescent="0.2">
      <c r="B20" s="11"/>
      <c r="C20" s="12"/>
      <c r="D20" s="12"/>
      <c r="E20" s="13"/>
    </row>
    <row r="21" spans="2:5" x14ac:dyDescent="0.2">
      <c r="B21" s="11"/>
      <c r="C21" s="12"/>
      <c r="D21" s="12"/>
      <c r="E21" s="13"/>
    </row>
    <row r="22" spans="2:5" x14ac:dyDescent="0.2">
      <c r="B22" s="11"/>
      <c r="C22" s="12"/>
      <c r="D22" s="12"/>
      <c r="E22" s="13"/>
    </row>
    <row r="23" spans="2:5" x14ac:dyDescent="0.2">
      <c r="B23" s="14"/>
      <c r="C23" s="15"/>
      <c r="D23" s="15"/>
      <c r="E23" s="16"/>
    </row>
    <row r="25" spans="2:5" ht="15" customHeight="1" x14ac:dyDescent="0.2">
      <c r="B25" s="17" t="s">
        <v>120</v>
      </c>
      <c r="C25" s="17"/>
      <c r="D25" s="17"/>
      <c r="E25" s="17"/>
    </row>
    <row r="26" spans="2:5" x14ac:dyDescent="0.2">
      <c r="B26" s="17"/>
      <c r="C26" s="17"/>
      <c r="D26" s="17"/>
      <c r="E26" s="17"/>
    </row>
    <row r="27" spans="2:5" x14ac:dyDescent="0.2">
      <c r="B27" s="17"/>
      <c r="C27" s="17"/>
      <c r="D27" s="17"/>
      <c r="E27" s="17"/>
    </row>
    <row r="28" spans="2:5" x14ac:dyDescent="0.2">
      <c r="B28" s="17"/>
      <c r="C28" s="17"/>
      <c r="D28" s="17"/>
      <c r="E28" s="17"/>
    </row>
    <row r="29" spans="2:5" x14ac:dyDescent="0.2">
      <c r="B29" s="17"/>
      <c r="C29" s="17"/>
      <c r="D29" s="17"/>
      <c r="E29" s="17"/>
    </row>
    <row r="30" spans="2:5" x14ac:dyDescent="0.2">
      <c r="B30" s="17"/>
      <c r="C30" s="17"/>
      <c r="D30" s="17"/>
      <c r="E30" s="17"/>
    </row>
    <row r="31" spans="2:5" x14ac:dyDescent="0.2">
      <c r="B31" s="17"/>
      <c r="C31" s="17"/>
      <c r="D31" s="17"/>
      <c r="E31" s="17"/>
    </row>
    <row r="32" spans="2:5" x14ac:dyDescent="0.2">
      <c r="B32" s="17"/>
      <c r="C32" s="17"/>
      <c r="D32" s="17"/>
      <c r="E32" s="17"/>
    </row>
  </sheetData>
  <mergeCells count="2">
    <mergeCell ref="B12:E23"/>
    <mergeCell ref="B25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Анализ</vt:lpstr>
      <vt:lpstr>Дашборд и итоговые показатели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Фролов</cp:lastModifiedBy>
  <dcterms:created xsi:type="dcterms:W3CDTF">2026-05-01T18:02:32Z</dcterms:created>
  <dcterms:modified xsi:type="dcterms:W3CDTF">2026-05-03T22:29:31Z</dcterms:modified>
</cp:coreProperties>
</file>
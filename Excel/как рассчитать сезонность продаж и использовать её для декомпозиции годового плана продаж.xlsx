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/>
  <c r="K6" i="1"/>
  <c r="L6" i="1"/>
  <c r="M6" i="1"/>
  <c r="N6" i="1"/>
  <c r="O6" i="1"/>
  <c r="D6" i="1"/>
  <c r="Q9" i="1"/>
  <c r="E9" i="1" s="1"/>
  <c r="Q8" i="1"/>
  <c r="O9" i="1" l="1"/>
  <c r="N9" i="1"/>
  <c r="J9" i="1"/>
  <c r="H9" i="1"/>
  <c r="L9" i="1"/>
  <c r="G9" i="1"/>
  <c r="D9" i="1"/>
  <c r="K9" i="1"/>
  <c r="F9" i="1"/>
  <c r="M9" i="1"/>
  <c r="I9" i="1"/>
</calcChain>
</file>

<file path=xl/sharedStrings.xml><?xml version="1.0" encoding="utf-8"?>
<sst xmlns="http://schemas.openxmlformats.org/spreadsheetml/2006/main" count="19" uniqueCount="19">
  <si>
    <t>Как рассчитать сезонность продаж и использовать её для декомпозиции годового плана по месяцам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</si>
  <si>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</si>
  <si>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</si>
  <si>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</si>
  <si>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</si>
  <si>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</si>
  <si>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</si>
  <si>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</si>
  <si>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</si>
  <si>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</si>
  <si>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</si>
  <si>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</si>
  <si>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</si>
  <si>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</t>
  </si>
  <si>
    <t>рост к году</t>
  </si>
  <si>
    <t>период:</t>
  </si>
  <si>
    <t>2020 факт продаж:</t>
  </si>
  <si>
    <t>2021 план продаж:</t>
  </si>
  <si>
    <t>сезонность: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</si>
</sst>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Gray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4" borderId="0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0" fillId="6" borderId="1" xfId="0" applyFill="1" applyBorder="1"/>
    <xf numFmtId="9" fontId="0" fillId="0" borderId="3" xfId="1" applyFont="1" applyBorder="1" applyAlignment="1">
      <alignment horizontal="center"/>
    </xf>
    <xf numFmtId="0" fontId="2" fillId="4" borderId="0" xfId="0" applyFont="1" applyFill="1"/>
    <xf numFmtId="3" fontId="0" fillId="4" borderId="0" xfId="0" applyNumberFormat="1" applyFill="1" applyBorder="1" applyAlignment="1">
      <alignment horizontal="center"/>
    </xf>
    <xf numFmtId="9" fontId="0" fillId="7" borderId="1" xfId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.24084415584415583"/>
          <c:w val="0.99999999999999989"/>
          <c:h val="0.7578683914510686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Лист1!$B$8</c:f>
              <c:strCache>
                <c:ptCount val="1"/>
                <c:pt idx="0">
                  <c:v>2020 факт продаж: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Лист1!$D$5:$O$5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Лист1!$D$8:$O$8</c:f>
              <c:numCache>
                <c:formatCode>#,##0</c:formatCode>
                <c:ptCount val="12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100</c:v>
                </c:pt>
                <c:pt idx="5">
                  <c:v>150</c:v>
                </c:pt>
                <c:pt idx="6">
                  <c:v>180</c:v>
                </c:pt>
                <c:pt idx="7">
                  <c:v>180</c:v>
                </c:pt>
                <c:pt idx="8">
                  <c:v>120</c:v>
                </c:pt>
                <c:pt idx="9">
                  <c:v>80</c:v>
                </c:pt>
                <c:pt idx="10">
                  <c:v>50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0-4815-9581-3AB1E95AC2E5}"/>
            </c:ext>
          </c:extLst>
        </c:ser>
        <c:ser>
          <c:idx val="1"/>
          <c:order val="1"/>
          <c:tx>
            <c:strRef>
              <c:f>Лист1!$B$9</c:f>
              <c:strCache>
                <c:ptCount val="1"/>
                <c:pt idx="0">
                  <c:v>2021 план продаж: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Лист1!$D$9:$O$9</c:f>
              <c:numCache>
                <c:formatCode>#,##0</c:formatCode>
                <c:ptCount val="12"/>
                <c:pt idx="0">
                  <c:v>51</c:v>
                </c:pt>
                <c:pt idx="1">
                  <c:v>85</c:v>
                </c:pt>
                <c:pt idx="2">
                  <c:v>136</c:v>
                </c:pt>
                <c:pt idx="3">
                  <c:v>136</c:v>
                </c:pt>
                <c:pt idx="4">
                  <c:v>170</c:v>
                </c:pt>
                <c:pt idx="5">
                  <c:v>255</c:v>
                </c:pt>
                <c:pt idx="6">
                  <c:v>306</c:v>
                </c:pt>
                <c:pt idx="7">
                  <c:v>306</c:v>
                </c:pt>
                <c:pt idx="8">
                  <c:v>204</c:v>
                </c:pt>
                <c:pt idx="9">
                  <c:v>136</c:v>
                </c:pt>
                <c:pt idx="10">
                  <c:v>85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0-4815-9581-3AB1E95A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028584"/>
        <c:axId val="428033176"/>
      </c:lineChart>
      <c:catAx>
        <c:axId val="428028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8033176"/>
        <c:crosses val="autoZero"/>
        <c:auto val="1"/>
        <c:lblAlgn val="ctr"/>
        <c:lblOffset val="100"/>
        <c:noMultiLvlLbl val="0"/>
      </c:catAx>
      <c:valAx>
        <c:axId val="428033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28028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15</xdr:col>
      <xdr:colOff>0</xdr:colOff>
      <xdr:row>4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zoomScale="150" zoomScaleNormal="150" workbookViewId="0">
      <selection activeCell="A11" sqref="A11"/>
    </sheetView>
  </sheetViews>
  <sheetFormatPr defaultRowHeight="15" x14ac:dyDescent="0.25"/>
  <cols>
    <col min="2" max="2" width="20.140625" customWidth="1"/>
    <col min="3" max="3" width="1.7109375" customWidth="1"/>
    <col min="4" max="15" width="9.28515625" customWidth="1"/>
    <col min="16" max="16" width="1.42578125" customWidth="1"/>
    <col min="17" max="17" width="9.28515625" customWidth="1"/>
    <col min="18" max="18" width="10.85546875" bestFit="1" customWidth="1"/>
  </cols>
  <sheetData>
    <row r="1" spans="1:19" ht="18.75" x14ac:dyDescent="0.3">
      <c r="A1" s="1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3.75" customHeight="1" x14ac:dyDescent="0.25">
      <c r="A4" s="6"/>
      <c r="B4" s="6"/>
      <c r="C4" s="12"/>
      <c r="P4" s="6"/>
      <c r="Q4" s="6"/>
      <c r="R4" s="6"/>
      <c r="S4" s="6"/>
    </row>
    <row r="5" spans="1:19" x14ac:dyDescent="0.25">
      <c r="A5" s="6"/>
      <c r="B5" s="3" t="s">
        <v>15</v>
      </c>
      <c r="C5" s="7"/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7"/>
      <c r="Q5" s="13" t="s">
        <v>13</v>
      </c>
      <c r="R5" s="14" t="s">
        <v>14</v>
      </c>
      <c r="S5" s="6"/>
    </row>
    <row r="6" spans="1:19" x14ac:dyDescent="0.25">
      <c r="A6" s="6"/>
      <c r="B6" s="9" t="s">
        <v>18</v>
      </c>
      <c r="C6" s="7"/>
      <c r="D6" s="15">
        <f>D8/$Q$8</f>
        <v>2.6315789473684209E-2</v>
      </c>
      <c r="E6" s="17">
        <f t="shared" ref="E6:O6" si="0">E8/$Q$8</f>
        <v>4.3859649122807015E-2</v>
      </c>
      <c r="F6" s="17">
        <f t="shared" si="0"/>
        <v>7.0175438596491224E-2</v>
      </c>
      <c r="G6" s="17">
        <f t="shared" si="0"/>
        <v>7.0175438596491224E-2</v>
      </c>
      <c r="H6" s="17">
        <f t="shared" si="0"/>
        <v>8.771929824561403E-2</v>
      </c>
      <c r="I6" s="17">
        <f t="shared" si="0"/>
        <v>0.13157894736842105</v>
      </c>
      <c r="J6" s="17">
        <f t="shared" si="0"/>
        <v>0.15789473684210525</v>
      </c>
      <c r="K6" s="17">
        <f t="shared" si="0"/>
        <v>0.15789473684210525</v>
      </c>
      <c r="L6" s="17">
        <f t="shared" si="0"/>
        <v>0.10526315789473684</v>
      </c>
      <c r="M6" s="17">
        <f t="shared" si="0"/>
        <v>7.0175438596491224E-2</v>
      </c>
      <c r="N6" s="17">
        <f t="shared" si="0"/>
        <v>4.3859649122807015E-2</v>
      </c>
      <c r="O6" s="17">
        <f t="shared" si="0"/>
        <v>3.5087719298245612E-2</v>
      </c>
      <c r="P6" s="7"/>
      <c r="Q6" s="13"/>
      <c r="R6" s="14"/>
      <c r="S6" s="6"/>
    </row>
    <row r="7" spans="1:19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7"/>
      <c r="S7" s="6"/>
    </row>
    <row r="8" spans="1:19" x14ac:dyDescent="0.25">
      <c r="A8" s="6"/>
      <c r="B8" s="3" t="s">
        <v>16</v>
      </c>
      <c r="C8" s="7"/>
      <c r="D8" s="10">
        <v>30</v>
      </c>
      <c r="E8" s="5">
        <v>50</v>
      </c>
      <c r="F8" s="5">
        <v>80</v>
      </c>
      <c r="G8" s="5">
        <v>80</v>
      </c>
      <c r="H8" s="5">
        <v>100</v>
      </c>
      <c r="I8" s="5">
        <v>150</v>
      </c>
      <c r="J8" s="5">
        <v>180</v>
      </c>
      <c r="K8" s="5">
        <v>180</v>
      </c>
      <c r="L8" s="5">
        <v>120</v>
      </c>
      <c r="M8" s="5">
        <v>80</v>
      </c>
      <c r="N8" s="5">
        <v>50</v>
      </c>
      <c r="O8" s="5">
        <v>40</v>
      </c>
      <c r="P8" s="19"/>
      <c r="Q8" s="4">
        <f>SUM(D8:O8)</f>
        <v>1140</v>
      </c>
      <c r="R8" s="16"/>
      <c r="S8" s="6"/>
    </row>
    <row r="9" spans="1:19" x14ac:dyDescent="0.25">
      <c r="A9" s="6"/>
      <c r="B9" s="2" t="s">
        <v>17</v>
      </c>
      <c r="C9" s="7"/>
      <c r="D9" s="11">
        <f>D6*$Q$9</f>
        <v>51</v>
      </c>
      <c r="E9" s="11">
        <f t="shared" ref="E9:O9" si="1">E6*$Q$9</f>
        <v>85</v>
      </c>
      <c r="F9" s="11">
        <f t="shared" si="1"/>
        <v>136</v>
      </c>
      <c r="G9" s="11">
        <f t="shared" si="1"/>
        <v>136</v>
      </c>
      <c r="H9" s="11">
        <f t="shared" si="1"/>
        <v>170</v>
      </c>
      <c r="I9" s="11">
        <f t="shared" si="1"/>
        <v>255</v>
      </c>
      <c r="J9" s="11">
        <f t="shared" si="1"/>
        <v>306</v>
      </c>
      <c r="K9" s="11">
        <f t="shared" si="1"/>
        <v>306</v>
      </c>
      <c r="L9" s="11">
        <f t="shared" si="1"/>
        <v>204</v>
      </c>
      <c r="M9" s="11">
        <f t="shared" si="1"/>
        <v>136</v>
      </c>
      <c r="N9" s="11">
        <f t="shared" si="1"/>
        <v>85</v>
      </c>
      <c r="O9" s="11">
        <f t="shared" si="1"/>
        <v>68</v>
      </c>
      <c r="P9" s="19"/>
      <c r="Q9" s="4">
        <f>Q8*R9+Q8</f>
        <v>1938</v>
      </c>
      <c r="R9" s="20">
        <v>0.7</v>
      </c>
      <c r="S9" s="6"/>
    </row>
    <row r="10" spans="1:1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mergeCells count="2">
    <mergeCell ref="Q5:Q6"/>
    <mergeCell ref="R5:R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2021-03-29T18:05:31Z</dcterms:modified>
</cp:coreProperties>
</file>